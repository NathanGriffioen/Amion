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pythonScripts.xml" ContentType="application/vnd.ms-excel.pythonscrip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GitHub\Amion\"/>
    </mc:Choice>
  </mc:AlternateContent>
  <xr:revisionPtr revIDLastSave="0" documentId="13_ncr:1_{81BD0316-397A-4336-9C30-B66C8DD004EA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Swap" sheetId="5" r:id="rId1"/>
    <sheet name="Master1" sheetId="6" r:id="rId2"/>
    <sheet name="Stats" sheetId="8" r:id="rId3"/>
    <sheet name="Master" sheetId="12" r:id="rId4"/>
    <sheet name="Amion Export" sheetId="11" r:id="rId5"/>
    <sheet name="Lists" sheetId="7" r:id="rId6"/>
    <sheet name="Calendar" sheetId="10" r:id="rId7"/>
  </sheets>
  <definedNames>
    <definedName name="_xleta.PY" hidden="1" xlm="1">#NAME?</definedName>
    <definedName name="_xlpm.TheYear" hidden="1" xlm="1">#NAME?</definedName>
    <definedName name="CalendarYear">Swap!$B$1</definedName>
    <definedName name="checker">Master1!$A$2:$G$95</definedName>
    <definedName name="ChkDr">_xlfn.UNIQUE(_xlfn.TOCOL(Group,1))</definedName>
    <definedName name="CurrDate">Lists!$F$2</definedName>
    <definedName name="DaysandWeeks">{0,1,2,3,4,5,6}+{0;1;2;3;4;5}*7</definedName>
    <definedName name="Doctors">Lists!$A$2:$A$18</definedName>
    <definedName name="Doctors1">Lists!$A$2:$A$19</definedName>
    <definedName name="Easter">_xlfn.LAMBDA(_xlpm.TheYear,ROUND(DATE(_xlpm.TheYear,4,MOD(234-11*MOD(_xlpm.TheYear,19),30))/7,)*7-6)</definedName>
    <definedName name="Group">#REF!</definedName>
    <definedName name="Holidays">Lists!$C$2:$C$18</definedName>
    <definedName name="Imported">#REF!</definedName>
    <definedName name="MonthStart">Swap!$B$3</definedName>
    <definedName name="StatYear">IF(MONTH(CurrDate)&lt;6,YEAR(CurrDate),YEAR(CurrDate)+1)</definedName>
    <definedName name="Swap_copy">Swap!$A$7:$G$100</definedName>
    <definedName name="Weekstart">Swap!$B$2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7" l="1" a="1"/>
  <c r="A2" i="7" s="1"/>
  <c r="B1" i="8" s="1" a="1"/>
  <c r="B1" i="8" s="1"/>
  <c r="F2" i="7"/>
  <c r="C2" i="7" s="1"/>
  <c r="A1" i="12" a="1"/>
  <c r="A1" i="12" l="1"/>
  <c r="C12" i="7"/>
  <c r="C8" i="7"/>
  <c r="C14" i="7"/>
  <c r="C13" i="7"/>
  <c r="C11" i="7"/>
  <c r="C10" i="7"/>
  <c r="C9" i="7"/>
  <c r="C5" i="7" a="1"/>
  <c r="C5" i="7" s="1"/>
  <c r="C6" i="7" a="1"/>
  <c r="C6" i="7" s="1"/>
  <c r="C4" i="7" a="1"/>
  <c r="C4" i="7" s="1"/>
  <c r="C7" i="7" a="1"/>
  <c r="C7" i="7" s="1"/>
  <c r="C3" i="7" a="1"/>
  <c r="C3" i="7" s="1"/>
  <c r="B31" i="8" a="1"/>
  <c r="B31" i="8" s="1"/>
  <c r="B26" i="8" a="1"/>
  <c r="B26" i="8" s="1"/>
  <c r="B30" i="8" a="1"/>
  <c r="B30" i="8" s="1"/>
  <c r="B19" i="8" a="1"/>
  <c r="B19" i="8" s="1"/>
  <c r="B24" i="8" a="1"/>
  <c r="B24" i="8" s="1"/>
  <c r="B29" i="8" a="1"/>
  <c r="B29" i="8" s="1"/>
  <c r="B23" i="8" a="1"/>
  <c r="B23" i="8" s="1"/>
  <c r="B32" i="8" a="1"/>
  <c r="B32" i="8" s="1"/>
  <c r="B28" i="8" a="1"/>
  <c r="B28" i="8" s="1"/>
  <c r="B27" i="8" a="1"/>
  <c r="B27" i="8" s="1"/>
  <c r="B25" i="8" a="1"/>
  <c r="B25" i="8" s="1"/>
  <c r="B22" i="8" a="1"/>
  <c r="B22" i="8" s="1"/>
  <c r="B21" i="8" a="1"/>
  <c r="B21" i="8" s="1"/>
  <c r="B20" i="8" a="1"/>
  <c r="B20" i="8" s="1"/>
  <c r="I1" i="8"/>
  <c r="E1" i="8"/>
  <c r="P1" i="8"/>
  <c r="L1" i="8"/>
  <c r="H1" i="8"/>
  <c r="D1" i="8"/>
  <c r="M1" i="8"/>
  <c r="K1" i="8"/>
  <c r="G1" i="8"/>
  <c r="C1" i="8"/>
  <c r="Q1" i="8"/>
  <c r="O1" i="8"/>
  <c r="R1" i="8"/>
  <c r="N1" i="8"/>
  <c r="J1" i="8"/>
  <c r="F1" i="8"/>
  <c r="R30" i="8" l="1" a="1"/>
  <c r="R30" i="8" s="1"/>
  <c r="R29" i="8" a="1"/>
  <c r="R29" i="8" s="1"/>
  <c r="R23" i="8" a="1"/>
  <c r="R23" i="8" s="1"/>
  <c r="R22" i="8" a="1"/>
  <c r="R22" i="8" s="1"/>
  <c r="R32" i="8" a="1"/>
  <c r="R32" i="8" s="1"/>
  <c r="R28" i="8" a="1"/>
  <c r="R28" i="8" s="1"/>
  <c r="R27" i="8" a="1"/>
  <c r="R27" i="8" s="1"/>
  <c r="R26" i="8" a="1"/>
  <c r="R26" i="8" s="1"/>
  <c r="R25" i="8" a="1"/>
  <c r="R25" i="8" s="1"/>
  <c r="R24" i="8" a="1"/>
  <c r="R24" i="8" s="1"/>
  <c r="R21" i="8" a="1"/>
  <c r="R21" i="8" s="1"/>
  <c r="R20" i="8" a="1"/>
  <c r="R20" i="8" s="1"/>
  <c r="R31" i="8" a="1"/>
  <c r="R31" i="8" s="1"/>
  <c r="R19" i="8" a="1"/>
  <c r="R19" i="8" s="1"/>
  <c r="G31" i="8" a="1"/>
  <c r="G31" i="8" s="1"/>
  <c r="G29" i="8" a="1"/>
  <c r="G29" i="8" s="1"/>
  <c r="G30" i="8" a="1"/>
  <c r="G30" i="8" s="1"/>
  <c r="G22" i="8" a="1"/>
  <c r="G22" i="8" s="1"/>
  <c r="G19" i="8" a="1"/>
  <c r="G19" i="8" s="1"/>
  <c r="G32" i="8" a="1"/>
  <c r="G32" i="8" s="1"/>
  <c r="G27" i="8" a="1"/>
  <c r="G27" i="8" s="1"/>
  <c r="G26" i="8" a="1"/>
  <c r="G26" i="8" s="1"/>
  <c r="G24" i="8" a="1"/>
  <c r="G24" i="8" s="1"/>
  <c r="G23" i="8" a="1"/>
  <c r="G23" i="8" s="1"/>
  <c r="G21" i="8" a="1"/>
  <c r="G21" i="8" s="1"/>
  <c r="G28" i="8" a="1"/>
  <c r="G28" i="8" s="1"/>
  <c r="G25" i="8" a="1"/>
  <c r="G25" i="8" s="1"/>
  <c r="G20" i="8" a="1"/>
  <c r="G20" i="8" s="1"/>
  <c r="H28" i="8" a="1"/>
  <c r="H28" i="8" s="1"/>
  <c r="H25" i="8" a="1"/>
  <c r="H25" i="8" s="1"/>
  <c r="H31" i="8" a="1"/>
  <c r="H31" i="8" s="1"/>
  <c r="H29" i="8" a="1"/>
  <c r="H29" i="8" s="1"/>
  <c r="H24" i="8" a="1"/>
  <c r="H24" i="8" s="1"/>
  <c r="H30" i="8" a="1"/>
  <c r="H30" i="8" s="1"/>
  <c r="H22" i="8" a="1"/>
  <c r="H22" i="8" s="1"/>
  <c r="H19" i="8" a="1"/>
  <c r="H19" i="8" s="1"/>
  <c r="H23" i="8" a="1"/>
  <c r="H23" i="8" s="1"/>
  <c r="H32" i="8" a="1"/>
  <c r="H32" i="8" s="1"/>
  <c r="H27" i="8" a="1"/>
  <c r="H27" i="8" s="1"/>
  <c r="H26" i="8" a="1"/>
  <c r="H26" i="8" s="1"/>
  <c r="H20" i="8" a="1"/>
  <c r="H20" i="8" s="1"/>
  <c r="H21" i="8" a="1"/>
  <c r="H21" i="8" s="1"/>
  <c r="I22" i="8" a="1"/>
  <c r="I22" i="8" s="1"/>
  <c r="I32" i="8" a="1"/>
  <c r="I32" i="8" s="1"/>
  <c r="I28" i="8" a="1"/>
  <c r="I28" i="8" s="1"/>
  <c r="I27" i="8" a="1"/>
  <c r="I27" i="8" s="1"/>
  <c r="I26" i="8" a="1"/>
  <c r="I26" i="8" s="1"/>
  <c r="I25" i="8" a="1"/>
  <c r="I25" i="8" s="1"/>
  <c r="I24" i="8" a="1"/>
  <c r="I24" i="8" s="1"/>
  <c r="I23" i="8" a="1"/>
  <c r="I23" i="8" s="1"/>
  <c r="I21" i="8" a="1"/>
  <c r="I21" i="8" s="1"/>
  <c r="I31" i="8" a="1"/>
  <c r="I31" i="8" s="1"/>
  <c r="I20" i="8" a="1"/>
  <c r="I20" i="8" s="1"/>
  <c r="I30" i="8" a="1"/>
  <c r="I30" i="8" s="1"/>
  <c r="I29" i="8" a="1"/>
  <c r="I29" i="8" s="1"/>
  <c r="I19" i="8" a="1"/>
  <c r="I19" i="8" s="1"/>
  <c r="F32" i="8" a="1"/>
  <c r="F32" i="8" s="1"/>
  <c r="F30" i="8" a="1"/>
  <c r="F30" i="8" s="1"/>
  <c r="F27" i="8" a="1"/>
  <c r="F27" i="8" s="1"/>
  <c r="F26" i="8" a="1"/>
  <c r="F26" i="8" s="1"/>
  <c r="F24" i="8" a="1"/>
  <c r="F24" i="8" s="1"/>
  <c r="F23" i="8" a="1"/>
  <c r="F23" i="8" s="1"/>
  <c r="F25" i="8" a="1"/>
  <c r="F25" i="8" s="1"/>
  <c r="F20" i="8" a="1"/>
  <c r="F20" i="8" s="1"/>
  <c r="F22" i="8" a="1"/>
  <c r="F22" i="8" s="1"/>
  <c r="F29" i="8" a="1"/>
  <c r="F29" i="8" s="1"/>
  <c r="F28" i="8" a="1"/>
  <c r="F28" i="8" s="1"/>
  <c r="F31" i="8" a="1"/>
  <c r="F31" i="8" s="1"/>
  <c r="F21" i="8" a="1"/>
  <c r="F21" i="8" s="1"/>
  <c r="F19" i="8" a="1"/>
  <c r="F19" i="8" s="1"/>
  <c r="O31" i="8" a="1"/>
  <c r="O31" i="8" s="1"/>
  <c r="O29" i="8" a="1"/>
  <c r="O29" i="8" s="1"/>
  <c r="O30" i="8" a="1"/>
  <c r="O30" i="8" s="1"/>
  <c r="O22" i="8" a="1"/>
  <c r="O22" i="8" s="1"/>
  <c r="O19" i="8" a="1"/>
  <c r="O19" i="8" s="1"/>
  <c r="O25" i="8" a="1"/>
  <c r="O25" i="8" s="1"/>
  <c r="O32" i="8" a="1"/>
  <c r="O32" i="8" s="1"/>
  <c r="O27" i="8" a="1"/>
  <c r="O27" i="8" s="1"/>
  <c r="O26" i="8" a="1"/>
  <c r="O26" i="8" s="1"/>
  <c r="O24" i="8" a="1"/>
  <c r="O24" i="8" s="1"/>
  <c r="O23" i="8" a="1"/>
  <c r="O23" i="8" s="1"/>
  <c r="O21" i="8" a="1"/>
  <c r="O21" i="8" s="1"/>
  <c r="O28" i="8" a="1"/>
  <c r="O28" i="8" s="1"/>
  <c r="O20" i="8" a="1"/>
  <c r="O20" i="8" s="1"/>
  <c r="K32" i="8" a="1"/>
  <c r="K32" i="8" s="1"/>
  <c r="K31" i="8" a="1"/>
  <c r="K31" i="8" s="1"/>
  <c r="K27" i="8" a="1"/>
  <c r="K27" i="8" s="1"/>
  <c r="K26" i="8" a="1"/>
  <c r="K26" i="8" s="1"/>
  <c r="K24" i="8" a="1"/>
  <c r="K24" i="8" s="1"/>
  <c r="K23" i="8" a="1"/>
  <c r="K23" i="8" s="1"/>
  <c r="K30" i="8" a="1"/>
  <c r="K30" i="8" s="1"/>
  <c r="K20" i="8" a="1"/>
  <c r="K20" i="8" s="1"/>
  <c r="K19" i="8" a="1"/>
  <c r="K19" i="8" s="1"/>
  <c r="K29" i="8" a="1"/>
  <c r="K29" i="8" s="1"/>
  <c r="K28" i="8" a="1"/>
  <c r="K28" i="8" s="1"/>
  <c r="K25" i="8" a="1"/>
  <c r="K25" i="8" s="1"/>
  <c r="K22" i="8" a="1"/>
  <c r="K22" i="8" s="1"/>
  <c r="K21" i="8" a="1"/>
  <c r="K21" i="8" s="1"/>
  <c r="L28" i="8" a="1"/>
  <c r="L28" i="8" s="1"/>
  <c r="L25" i="8" a="1"/>
  <c r="L25" i="8" s="1"/>
  <c r="L22" i="8" a="1"/>
  <c r="L22" i="8" s="1"/>
  <c r="L32" i="8" a="1"/>
  <c r="L32" i="8" s="1"/>
  <c r="L31" i="8" a="1"/>
  <c r="L31" i="8" s="1"/>
  <c r="L27" i="8" a="1"/>
  <c r="L27" i="8" s="1"/>
  <c r="L26" i="8" a="1"/>
  <c r="L26" i="8" s="1"/>
  <c r="L24" i="8" a="1"/>
  <c r="L24" i="8" s="1"/>
  <c r="L23" i="8" a="1"/>
  <c r="L23" i="8" s="1"/>
  <c r="L21" i="8" a="1"/>
  <c r="L21" i="8" s="1"/>
  <c r="L19" i="8" a="1"/>
  <c r="L19" i="8" s="1"/>
  <c r="L30" i="8" a="1"/>
  <c r="L30" i="8" s="1"/>
  <c r="L20" i="8" a="1"/>
  <c r="L20" i="8" s="1"/>
  <c r="L29" i="8" a="1"/>
  <c r="L29" i="8" s="1"/>
  <c r="N32" i="8" a="1"/>
  <c r="N32" i="8" s="1"/>
  <c r="N30" i="8" a="1"/>
  <c r="N30" i="8" s="1"/>
  <c r="N27" i="8" a="1"/>
  <c r="N27" i="8" s="1"/>
  <c r="N26" i="8" a="1"/>
  <c r="N26" i="8" s="1"/>
  <c r="N24" i="8" a="1"/>
  <c r="N24" i="8" s="1"/>
  <c r="N23" i="8" a="1"/>
  <c r="N23" i="8" s="1"/>
  <c r="N20" i="8" a="1"/>
  <c r="N20" i="8" s="1"/>
  <c r="N29" i="8" a="1"/>
  <c r="N29" i="8" s="1"/>
  <c r="N28" i="8" a="1"/>
  <c r="N28" i="8" s="1"/>
  <c r="N25" i="8" a="1"/>
  <c r="N25" i="8" s="1"/>
  <c r="N22" i="8" a="1"/>
  <c r="N22" i="8" s="1"/>
  <c r="N31" i="8" a="1"/>
  <c r="N31" i="8" s="1"/>
  <c r="N21" i="8" a="1"/>
  <c r="N21" i="8" s="1"/>
  <c r="N19" i="8" a="1"/>
  <c r="N19" i="8" s="1"/>
  <c r="C32" i="8" a="1"/>
  <c r="C32" i="8" s="1"/>
  <c r="C31" i="8" a="1"/>
  <c r="C31" i="8" s="1"/>
  <c r="C27" i="8" a="1"/>
  <c r="C27" i="8" s="1"/>
  <c r="C26" i="8" a="1"/>
  <c r="C26" i="8" s="1"/>
  <c r="C24" i="8" a="1"/>
  <c r="C24" i="8" s="1"/>
  <c r="C23" i="8" a="1"/>
  <c r="C23" i="8" s="1"/>
  <c r="C21" i="8" a="1"/>
  <c r="C21" i="8" s="1"/>
  <c r="C30" i="8" a="1"/>
  <c r="C30" i="8" s="1"/>
  <c r="C25" i="8" a="1"/>
  <c r="C25" i="8" s="1"/>
  <c r="C20" i="8" a="1"/>
  <c r="C20" i="8" s="1"/>
  <c r="C19" i="8" a="1"/>
  <c r="C19" i="8" s="1"/>
  <c r="C29" i="8" a="1"/>
  <c r="C29" i="8" s="1"/>
  <c r="C22" i="8" a="1"/>
  <c r="C22" i="8" s="1"/>
  <c r="C28" i="8" a="1"/>
  <c r="C28" i="8" s="1"/>
  <c r="D28" i="8" a="1"/>
  <c r="D28" i="8" s="1"/>
  <c r="D22" i="8" a="1"/>
  <c r="D22" i="8" s="1"/>
  <c r="D32" i="8" a="1"/>
  <c r="D32" i="8" s="1"/>
  <c r="D31" i="8" a="1"/>
  <c r="D31" i="8" s="1"/>
  <c r="D27" i="8" a="1"/>
  <c r="D27" i="8" s="1"/>
  <c r="D26" i="8" a="1"/>
  <c r="D26" i="8" s="1"/>
  <c r="D24" i="8" a="1"/>
  <c r="D24" i="8" s="1"/>
  <c r="D23" i="8" a="1"/>
  <c r="D23" i="8" s="1"/>
  <c r="D21" i="8" a="1"/>
  <c r="D21" i="8" s="1"/>
  <c r="D30" i="8" a="1"/>
  <c r="D30" i="8" s="1"/>
  <c r="D25" i="8" a="1"/>
  <c r="D25" i="8" s="1"/>
  <c r="D20" i="8" a="1"/>
  <c r="D20" i="8" s="1"/>
  <c r="D19" i="8" a="1"/>
  <c r="D19" i="8" s="1"/>
  <c r="D29" i="8" a="1"/>
  <c r="D29" i="8" s="1"/>
  <c r="E25" i="8" a="1"/>
  <c r="E25" i="8" s="1"/>
  <c r="E29" i="8" a="1"/>
  <c r="E29" i="8" s="1"/>
  <c r="E28" i="8" a="1"/>
  <c r="E28" i="8" s="1"/>
  <c r="E31" i="8" a="1"/>
  <c r="E31" i="8" s="1"/>
  <c r="E22" i="8" a="1"/>
  <c r="E22" i="8" s="1"/>
  <c r="E24" i="8" a="1"/>
  <c r="E24" i="8" s="1"/>
  <c r="E32" i="8" a="1"/>
  <c r="E32" i="8" s="1"/>
  <c r="E30" i="8" a="1"/>
  <c r="E30" i="8" s="1"/>
  <c r="E27" i="8" a="1"/>
  <c r="E27" i="8" s="1"/>
  <c r="E26" i="8" a="1"/>
  <c r="E26" i="8" s="1"/>
  <c r="E23" i="8" a="1"/>
  <c r="E23" i="8" s="1"/>
  <c r="E21" i="8" a="1"/>
  <c r="E21" i="8" s="1"/>
  <c r="E19" i="8" a="1"/>
  <c r="E19" i="8" s="1"/>
  <c r="E20" i="8" a="1"/>
  <c r="E20" i="8" s="1"/>
  <c r="J30" i="8" a="1"/>
  <c r="J30" i="8" s="1"/>
  <c r="J29" i="8" a="1"/>
  <c r="J29" i="8" s="1"/>
  <c r="J22" i="8" a="1"/>
  <c r="J22" i="8" s="1"/>
  <c r="J32" i="8" a="1"/>
  <c r="J32" i="8" s="1"/>
  <c r="J28" i="8" a="1"/>
  <c r="J28" i="8" s="1"/>
  <c r="J27" i="8" a="1"/>
  <c r="J27" i="8" s="1"/>
  <c r="J26" i="8" a="1"/>
  <c r="J26" i="8" s="1"/>
  <c r="J25" i="8" a="1"/>
  <c r="J25" i="8" s="1"/>
  <c r="J24" i="8" a="1"/>
  <c r="J24" i="8" s="1"/>
  <c r="J23" i="8" a="1"/>
  <c r="J23" i="8" s="1"/>
  <c r="J21" i="8" a="1"/>
  <c r="J21" i="8" s="1"/>
  <c r="J31" i="8" a="1"/>
  <c r="J31" i="8" s="1"/>
  <c r="J19" i="8" a="1"/>
  <c r="J19" i="8" s="1"/>
  <c r="J20" i="8" a="1"/>
  <c r="J20" i="8" s="1"/>
  <c r="Q23" i="8" a="1"/>
  <c r="Q23" i="8" s="1"/>
  <c r="Q22" i="8" a="1"/>
  <c r="Q22" i="8" s="1"/>
  <c r="Q32" i="8" a="1"/>
  <c r="Q32" i="8" s="1"/>
  <c r="Q28" i="8" a="1"/>
  <c r="Q28" i="8" s="1"/>
  <c r="Q27" i="8" a="1"/>
  <c r="Q27" i="8" s="1"/>
  <c r="Q26" i="8" a="1"/>
  <c r="Q26" i="8" s="1"/>
  <c r="Q25" i="8" a="1"/>
  <c r="Q25" i="8" s="1"/>
  <c r="Q24" i="8" a="1"/>
  <c r="Q24" i="8" s="1"/>
  <c r="Q21" i="8" a="1"/>
  <c r="Q21" i="8" s="1"/>
  <c r="Q20" i="8" a="1"/>
  <c r="Q20" i="8" s="1"/>
  <c r="Q31" i="8" a="1"/>
  <c r="Q31" i="8" s="1"/>
  <c r="Q30" i="8" a="1"/>
  <c r="Q30" i="8" s="1"/>
  <c r="Q29" i="8" a="1"/>
  <c r="Q29" i="8" s="1"/>
  <c r="Q19" i="8" a="1"/>
  <c r="Q19" i="8" s="1"/>
  <c r="M29" i="8" a="1"/>
  <c r="M29" i="8" s="1"/>
  <c r="M28" i="8" a="1"/>
  <c r="M28" i="8" s="1"/>
  <c r="M25" i="8" a="1"/>
  <c r="M25" i="8" s="1"/>
  <c r="M23" i="8" a="1"/>
  <c r="M23" i="8" s="1"/>
  <c r="M31" i="8" a="1"/>
  <c r="M31" i="8" s="1"/>
  <c r="M22" i="8" a="1"/>
  <c r="M22" i="8" s="1"/>
  <c r="M32" i="8" a="1"/>
  <c r="M32" i="8" s="1"/>
  <c r="M30" i="8" a="1"/>
  <c r="M30" i="8" s="1"/>
  <c r="M27" i="8" a="1"/>
  <c r="M27" i="8" s="1"/>
  <c r="M26" i="8" a="1"/>
  <c r="M26" i="8" s="1"/>
  <c r="M24" i="8" a="1"/>
  <c r="M24" i="8" s="1"/>
  <c r="M20" i="8" a="1"/>
  <c r="M20" i="8" s="1"/>
  <c r="M19" i="8" a="1"/>
  <c r="M19" i="8" s="1"/>
  <c r="M21" i="8" a="1"/>
  <c r="M21" i="8" s="1"/>
  <c r="P28" i="8" a="1"/>
  <c r="P28" i="8" s="1"/>
  <c r="P25" i="8" a="1"/>
  <c r="P25" i="8" s="1"/>
  <c r="P31" i="8" a="1"/>
  <c r="P31" i="8" s="1"/>
  <c r="P29" i="8" a="1"/>
  <c r="P29" i="8" s="1"/>
  <c r="P30" i="8" a="1"/>
  <c r="P30" i="8" s="1"/>
  <c r="P22" i="8" a="1"/>
  <c r="P22" i="8" s="1"/>
  <c r="P19" i="8" a="1"/>
  <c r="P19" i="8" s="1"/>
  <c r="P24" i="8" a="1"/>
  <c r="P24" i="8" s="1"/>
  <c r="P32" i="8" a="1"/>
  <c r="P32" i="8" s="1"/>
  <c r="P27" i="8" a="1"/>
  <c r="P27" i="8" s="1"/>
  <c r="P26" i="8" a="1"/>
  <c r="P26" i="8" s="1"/>
  <c r="P23" i="8" a="1"/>
  <c r="P23" i="8" s="1"/>
  <c r="P21" i="8" a="1"/>
  <c r="P21" i="8" s="1"/>
  <c r="P20" i="8" a="1"/>
  <c r="P20" i="8" s="1"/>
  <c r="A1" i="10" a="1"/>
  <c r="A1" i="10" s="1"/>
  <c r="K1" i="10" s="1"/>
  <c r="I10" i="10"/>
  <c r="I15" i="10" s="1"/>
  <c r="I20" i="10" s="1"/>
  <c r="I25" i="10" s="1"/>
  <c r="I9" i="10"/>
  <c r="I14" i="10" s="1"/>
  <c r="I19" i="10" s="1"/>
  <c r="I24" i="10" s="1"/>
  <c r="I29" i="10" s="1"/>
  <c r="I8" i="10"/>
  <c r="I13" i="10" s="1"/>
  <c r="I18" i="10" s="1"/>
  <c r="I23" i="10" s="1"/>
  <c r="I28" i="10" s="1"/>
  <c r="I33" i="10" s="1"/>
  <c r="I7" i="10"/>
  <c r="I12" i="10" s="1"/>
  <c r="I6" i="10"/>
  <c r="I11" i="10" s="1"/>
  <c r="A6" i="10" a="1"/>
  <c r="D6" i="10" s="1"/>
  <c r="N6" i="10" s="1"/>
  <c r="A5" i="10" a="1"/>
  <c r="D5" i="10" s="1"/>
  <c r="N5" i="10" s="1"/>
  <c r="A4" i="10" a="1"/>
  <c r="D4" i="10" s="1"/>
  <c r="N4" i="10" s="1"/>
  <c r="A3" i="10" a="1"/>
  <c r="C3" i="10" s="1"/>
  <c r="M3" i="10" s="1"/>
  <c r="A2" i="10" a="1"/>
  <c r="C2" i="10" s="1"/>
  <c r="M2" i="10" s="1"/>
  <c r="S24" i="8" l="1"/>
  <c r="S21" i="8"/>
  <c r="S28" i="8"/>
  <c r="S31" i="8"/>
  <c r="R33" i="8"/>
  <c r="S20" i="8"/>
  <c r="S23" i="8"/>
  <c r="S22" i="8"/>
  <c r="S25" i="8"/>
  <c r="S32" i="8"/>
  <c r="S29" i="8"/>
  <c r="S30" i="8"/>
  <c r="S26" i="8"/>
  <c r="S27" i="8"/>
  <c r="S19" i="8"/>
  <c r="Q33" i="8"/>
  <c r="A8" i="10" a="1"/>
  <c r="A18" i="10" a="1"/>
  <c r="E18" i="10" s="1"/>
  <c r="O18" i="10" s="1"/>
  <c r="A10" i="10" a="1"/>
  <c r="D10" i="10" s="1"/>
  <c r="N10" i="10" s="1"/>
  <c r="A19" i="10" a="1"/>
  <c r="G19" i="10" s="1"/>
  <c r="Q19" i="10" s="1"/>
  <c r="A23" i="10" a="1"/>
  <c r="A7" i="10" a="1"/>
  <c r="E7" i="10" s="1"/>
  <c r="O7" i="10" s="1"/>
  <c r="A9" i="10" a="1"/>
  <c r="D9" i="10" s="1"/>
  <c r="N9" i="10" s="1"/>
  <c r="A14" i="10" a="1"/>
  <c r="F14" i="10" s="1"/>
  <c r="P14" i="10" s="1"/>
  <c r="A28" i="10" a="1"/>
  <c r="C5" i="10"/>
  <c r="M5" i="10" s="1"/>
  <c r="A3" i="10"/>
  <c r="K3" i="10" s="1"/>
  <c r="E5" i="10"/>
  <c r="O5" i="10" s="1"/>
  <c r="D3" i="10"/>
  <c r="N3" i="10" s="1"/>
  <c r="A5" i="10"/>
  <c r="K5" i="10" s="1"/>
  <c r="F5" i="10"/>
  <c r="P5" i="10" s="1"/>
  <c r="G3" i="10"/>
  <c r="Q3" i="10" s="1"/>
  <c r="B5" i="10"/>
  <c r="L5" i="10" s="1"/>
  <c r="G5" i="10"/>
  <c r="Q5" i="10" s="1"/>
  <c r="D1" i="10"/>
  <c r="N1" i="10" s="1"/>
  <c r="G1" i="10"/>
  <c r="Q1" i="10" s="1"/>
  <c r="C1" i="10"/>
  <c r="M1" i="10" s="1"/>
  <c r="F1" i="10"/>
  <c r="P1" i="10" s="1"/>
  <c r="B1" i="10"/>
  <c r="L1" i="10" s="1"/>
  <c r="E1" i="10"/>
  <c r="O1" i="10" s="1"/>
  <c r="F23" i="10"/>
  <c r="P23" i="10" s="1"/>
  <c r="B23" i="10"/>
  <c r="L23" i="10" s="1"/>
  <c r="C23" i="10"/>
  <c r="M23" i="10" s="1"/>
  <c r="G23" i="10"/>
  <c r="Q23" i="10" s="1"/>
  <c r="A23" i="10"/>
  <c r="K23" i="10" s="1"/>
  <c r="D23" i="10"/>
  <c r="N23" i="10" s="1"/>
  <c r="B4" i="10"/>
  <c r="L4" i="10" s="1"/>
  <c r="C6" i="10"/>
  <c r="M6" i="10" s="1"/>
  <c r="I38" i="10"/>
  <c r="A33" i="10" a="1"/>
  <c r="C9" i="10"/>
  <c r="M9" i="10" s="1"/>
  <c r="A13" i="10" a="1"/>
  <c r="A15" i="10" a="1"/>
  <c r="E8" i="10"/>
  <c r="O8" i="10" s="1"/>
  <c r="A8" i="10"/>
  <c r="K8" i="10" s="1"/>
  <c r="F8" i="10"/>
  <c r="P8" i="10" s="1"/>
  <c r="E2" i="10"/>
  <c r="O2" i="10" s="1"/>
  <c r="A2" i="10"/>
  <c r="K2" i="10" s="1"/>
  <c r="F2" i="10"/>
  <c r="P2" i="10" s="1"/>
  <c r="I16" i="10"/>
  <c r="A11" i="10" a="1"/>
  <c r="I17" i="10"/>
  <c r="A12" i="10" a="1"/>
  <c r="C8" i="10"/>
  <c r="M8" i="10" s="1"/>
  <c r="I34" i="10"/>
  <c r="A29" i="10" a="1"/>
  <c r="C10" i="10"/>
  <c r="M10" i="10" s="1"/>
  <c r="I30" i="10"/>
  <c r="A25" i="10" a="1"/>
  <c r="B2" i="10"/>
  <c r="L2" i="10" s="1"/>
  <c r="G2" i="10"/>
  <c r="Q2" i="10" s="1"/>
  <c r="D8" i="10"/>
  <c r="N8" i="10" s="1"/>
  <c r="A20" i="10" a="1"/>
  <c r="A24" i="10" a="1"/>
  <c r="E6" i="10"/>
  <c r="O6" i="10" s="1"/>
  <c r="A6" i="10"/>
  <c r="K6" i="10" s="1"/>
  <c r="F6" i="10"/>
  <c r="P6" i="10" s="1"/>
  <c r="E10" i="10"/>
  <c r="O10" i="10" s="1"/>
  <c r="A10" i="10"/>
  <c r="K10" i="10" s="1"/>
  <c r="A19" i="10"/>
  <c r="K19" i="10" s="1"/>
  <c r="G4" i="10"/>
  <c r="Q4" i="10" s="1"/>
  <c r="C4" i="10"/>
  <c r="M4" i="10" s="1"/>
  <c r="E4" i="10"/>
  <c r="O4" i="10" s="1"/>
  <c r="E9" i="10"/>
  <c r="O9" i="10" s="1"/>
  <c r="A9" i="10"/>
  <c r="K9" i="10" s="1"/>
  <c r="F9" i="10"/>
  <c r="P9" i="10" s="1"/>
  <c r="F10" i="10"/>
  <c r="P10" i="10" s="1"/>
  <c r="F18" i="10"/>
  <c r="P18" i="10" s="1"/>
  <c r="B18" i="10"/>
  <c r="L18" i="10" s="1"/>
  <c r="C18" i="10"/>
  <c r="M18" i="10" s="1"/>
  <c r="G18" i="10"/>
  <c r="Q18" i="10" s="1"/>
  <c r="D18" i="10"/>
  <c r="N18" i="10" s="1"/>
  <c r="E28" i="10"/>
  <c r="O28" i="10" s="1"/>
  <c r="A28" i="10"/>
  <c r="K28" i="10" s="1"/>
  <c r="C28" i="10"/>
  <c r="M28" i="10" s="1"/>
  <c r="D28" i="10"/>
  <c r="N28" i="10" s="1"/>
  <c r="B28" i="10"/>
  <c r="L28" i="10" s="1"/>
  <c r="F28" i="10"/>
  <c r="P28" i="10" s="1"/>
  <c r="D2" i="10"/>
  <c r="N2" i="10" s="1"/>
  <c r="F3" i="10"/>
  <c r="P3" i="10" s="1"/>
  <c r="B3" i="10"/>
  <c r="L3" i="10" s="1"/>
  <c r="E3" i="10"/>
  <c r="O3" i="10" s="1"/>
  <c r="A4" i="10"/>
  <c r="K4" i="10" s="1"/>
  <c r="F4" i="10"/>
  <c r="P4" i="10" s="1"/>
  <c r="B6" i="10"/>
  <c r="L6" i="10" s="1"/>
  <c r="G6" i="10"/>
  <c r="Q6" i="10" s="1"/>
  <c r="G7" i="10"/>
  <c r="Q7" i="10" s="1"/>
  <c r="B8" i="10"/>
  <c r="L8" i="10" s="1"/>
  <c r="G8" i="10"/>
  <c r="Q8" i="10" s="1"/>
  <c r="B9" i="10"/>
  <c r="L9" i="10" s="1"/>
  <c r="G9" i="10"/>
  <c r="Q9" i="10" s="1"/>
  <c r="B10" i="10"/>
  <c r="L10" i="10" s="1"/>
  <c r="G10" i="10"/>
  <c r="Q10" i="10" s="1"/>
  <c r="A18" i="10"/>
  <c r="K18" i="10" s="1"/>
  <c r="E23" i="10"/>
  <c r="O23" i="10" s="1"/>
  <c r="G28" i="10"/>
  <c r="Q28" i="10" s="1"/>
  <c r="E19" i="10" l="1"/>
  <c r="O19" i="10" s="1"/>
  <c r="C19" i="10"/>
  <c r="M19" i="10" s="1"/>
  <c r="B19" i="10"/>
  <c r="L19" i="10" s="1"/>
  <c r="D19" i="10"/>
  <c r="N19" i="10" s="1"/>
  <c r="F19" i="10"/>
  <c r="P19" i="10" s="1"/>
  <c r="G14" i="10"/>
  <c r="Q14" i="10" s="1"/>
  <c r="A14" i="10"/>
  <c r="K14" i="10" s="1"/>
  <c r="E14" i="10"/>
  <c r="O14" i="10" s="1"/>
  <c r="D14" i="10"/>
  <c r="N14" i="10" s="1"/>
  <c r="C14" i="10"/>
  <c r="M14" i="10" s="1"/>
  <c r="B14" i="10"/>
  <c r="L14" i="10" s="1"/>
  <c r="F7" i="10"/>
  <c r="P7" i="10" s="1"/>
  <c r="B7" i="10"/>
  <c r="L7" i="10" s="1"/>
  <c r="C7" i="10"/>
  <c r="M7" i="10" s="1"/>
  <c r="A7" i="10"/>
  <c r="K7" i="10" s="1"/>
  <c r="D7" i="10"/>
  <c r="N7" i="10" s="1"/>
  <c r="F20" i="10"/>
  <c r="P20" i="10" s="1"/>
  <c r="B20" i="10"/>
  <c r="L20" i="10" s="1"/>
  <c r="C20" i="10"/>
  <c r="M20" i="10" s="1"/>
  <c r="G20" i="10"/>
  <c r="Q20" i="10" s="1"/>
  <c r="A20" i="10"/>
  <c r="K20" i="10" s="1"/>
  <c r="D20" i="10"/>
  <c r="N20" i="10" s="1"/>
  <c r="E20" i="10"/>
  <c r="O20" i="10" s="1"/>
  <c r="D12" i="10"/>
  <c r="N12" i="10" s="1"/>
  <c r="E12" i="10"/>
  <c r="O12" i="10" s="1"/>
  <c r="A12" i="10"/>
  <c r="K12" i="10" s="1"/>
  <c r="C12" i="10"/>
  <c r="M12" i="10" s="1"/>
  <c r="B12" i="10"/>
  <c r="L12" i="10" s="1"/>
  <c r="G12" i="10"/>
  <c r="Q12" i="10" s="1"/>
  <c r="F12" i="10"/>
  <c r="P12" i="10" s="1"/>
  <c r="I21" i="10"/>
  <c r="A16" i="10" a="1"/>
  <c r="I43" i="10"/>
  <c r="A38" i="10" a="1"/>
  <c r="E29" i="10"/>
  <c r="O29" i="10" s="1"/>
  <c r="A29" i="10"/>
  <c r="K29" i="10" s="1"/>
  <c r="C29" i="10"/>
  <c r="M29" i="10" s="1"/>
  <c r="B29" i="10"/>
  <c r="L29" i="10" s="1"/>
  <c r="G29" i="10"/>
  <c r="Q29" i="10" s="1"/>
  <c r="D29" i="10"/>
  <c r="N29" i="10" s="1"/>
  <c r="F29" i="10"/>
  <c r="P29" i="10" s="1"/>
  <c r="I22" i="10"/>
  <c r="A17" i="10" a="1"/>
  <c r="F13" i="10"/>
  <c r="P13" i="10" s="1"/>
  <c r="B13" i="10"/>
  <c r="L13" i="10" s="1"/>
  <c r="C13" i="10"/>
  <c r="M13" i="10" s="1"/>
  <c r="D13" i="10"/>
  <c r="N13" i="10" s="1"/>
  <c r="G13" i="10"/>
  <c r="Q13" i="10" s="1"/>
  <c r="E13" i="10"/>
  <c r="O13" i="10" s="1"/>
  <c r="A13" i="10"/>
  <c r="K13" i="10" s="1"/>
  <c r="E25" i="10"/>
  <c r="O25" i="10" s="1"/>
  <c r="A25" i="10"/>
  <c r="K25" i="10" s="1"/>
  <c r="C25" i="10"/>
  <c r="M25" i="10" s="1"/>
  <c r="B25" i="10"/>
  <c r="L25" i="10" s="1"/>
  <c r="G25" i="10"/>
  <c r="Q25" i="10" s="1"/>
  <c r="D25" i="10"/>
  <c r="N25" i="10" s="1"/>
  <c r="F25" i="10"/>
  <c r="P25" i="10" s="1"/>
  <c r="I39" i="10"/>
  <c r="A34" i="10" a="1"/>
  <c r="E24" i="10"/>
  <c r="O24" i="10" s="1"/>
  <c r="A24" i="10"/>
  <c r="K24" i="10" s="1"/>
  <c r="C24" i="10"/>
  <c r="M24" i="10" s="1"/>
  <c r="D24" i="10"/>
  <c r="N24" i="10" s="1"/>
  <c r="B24" i="10"/>
  <c r="L24" i="10" s="1"/>
  <c r="F24" i="10"/>
  <c r="P24" i="10" s="1"/>
  <c r="G24" i="10"/>
  <c r="Q24" i="10" s="1"/>
  <c r="I35" i="10"/>
  <c r="A30" i="10" a="1"/>
  <c r="D11" i="10"/>
  <c r="N11" i="10" s="1"/>
  <c r="E11" i="10"/>
  <c r="O11" i="10" s="1"/>
  <c r="A11" i="10"/>
  <c r="K11" i="10" s="1"/>
  <c r="C11" i="10"/>
  <c r="M11" i="10" s="1"/>
  <c r="B11" i="10"/>
  <c r="L11" i="10" s="1"/>
  <c r="G11" i="10"/>
  <c r="Q11" i="10" s="1"/>
  <c r="F11" i="10"/>
  <c r="P11" i="10" s="1"/>
  <c r="F15" i="10"/>
  <c r="P15" i="10" s="1"/>
  <c r="B15" i="10"/>
  <c r="L15" i="10" s="1"/>
  <c r="C15" i="10"/>
  <c r="M15" i="10" s="1"/>
  <c r="D15" i="10"/>
  <c r="N15" i="10" s="1"/>
  <c r="G15" i="10"/>
  <c r="Q15" i="10" s="1"/>
  <c r="A15" i="10"/>
  <c r="K15" i="10" s="1"/>
  <c r="E15" i="10"/>
  <c r="O15" i="10" s="1"/>
  <c r="E33" i="10"/>
  <c r="O33" i="10" s="1"/>
  <c r="A33" i="10"/>
  <c r="K33" i="10" s="1"/>
  <c r="C33" i="10"/>
  <c r="M33" i="10" s="1"/>
  <c r="B33" i="10"/>
  <c r="L33" i="10" s="1"/>
  <c r="G33" i="10"/>
  <c r="Q33" i="10" s="1"/>
  <c r="D33" i="10"/>
  <c r="N33" i="10" s="1"/>
  <c r="F33" i="10"/>
  <c r="P33" i="10" s="1"/>
  <c r="B33" i="8" l="1"/>
  <c r="I27" i="10"/>
  <c r="A22" i="10" a="1"/>
  <c r="E30" i="10"/>
  <c r="O30" i="10" s="1"/>
  <c r="A30" i="10"/>
  <c r="K30" i="10" s="1"/>
  <c r="C30" i="10"/>
  <c r="M30" i="10" s="1"/>
  <c r="G30" i="10"/>
  <c r="Q30" i="10" s="1"/>
  <c r="F30" i="10"/>
  <c r="P30" i="10" s="1"/>
  <c r="B30" i="10"/>
  <c r="L30" i="10" s="1"/>
  <c r="D30" i="10"/>
  <c r="N30" i="10" s="1"/>
  <c r="F16" i="10"/>
  <c r="P16" i="10" s="1"/>
  <c r="B16" i="10"/>
  <c r="L16" i="10" s="1"/>
  <c r="C16" i="10"/>
  <c r="M16" i="10" s="1"/>
  <c r="D16" i="10"/>
  <c r="N16" i="10" s="1"/>
  <c r="A16" i="10"/>
  <c r="K16" i="10" s="1"/>
  <c r="G16" i="10"/>
  <c r="Q16" i="10" s="1"/>
  <c r="E16" i="10"/>
  <c r="O16" i="10" s="1"/>
  <c r="I40" i="10"/>
  <c r="A35" i="10" a="1"/>
  <c r="E34" i="10"/>
  <c r="O34" i="10" s="1"/>
  <c r="A34" i="10"/>
  <c r="K34" i="10" s="1"/>
  <c r="C34" i="10"/>
  <c r="M34" i="10" s="1"/>
  <c r="G34" i="10"/>
  <c r="Q34" i="10" s="1"/>
  <c r="F34" i="10"/>
  <c r="P34" i="10" s="1"/>
  <c r="B34" i="10"/>
  <c r="L34" i="10" s="1"/>
  <c r="D34" i="10"/>
  <c r="N34" i="10" s="1"/>
  <c r="F17" i="10"/>
  <c r="P17" i="10" s="1"/>
  <c r="B17" i="10"/>
  <c r="L17" i="10" s="1"/>
  <c r="C17" i="10"/>
  <c r="M17" i="10" s="1"/>
  <c r="D17" i="10"/>
  <c r="N17" i="10" s="1"/>
  <c r="G17" i="10"/>
  <c r="Q17" i="10" s="1"/>
  <c r="A17" i="10"/>
  <c r="K17" i="10" s="1"/>
  <c r="E17" i="10"/>
  <c r="O17" i="10" s="1"/>
  <c r="I26" i="10"/>
  <c r="A21" i="10" a="1"/>
  <c r="I44" i="10"/>
  <c r="A39" i="10" a="1"/>
  <c r="E38" i="10"/>
  <c r="O38" i="10" s="1"/>
  <c r="A38" i="10"/>
  <c r="K38" i="10" s="1"/>
  <c r="C38" i="10"/>
  <c r="M38" i="10" s="1"/>
  <c r="G38" i="10"/>
  <c r="Q38" i="10" s="1"/>
  <c r="F38" i="10"/>
  <c r="P38" i="10" s="1"/>
  <c r="B38" i="10"/>
  <c r="L38" i="10" s="1"/>
  <c r="D38" i="10"/>
  <c r="N38" i="10" s="1"/>
  <c r="I48" i="10"/>
  <c r="A43" i="10" a="1"/>
  <c r="I12" i="5"/>
  <c r="I17" i="5" s="1"/>
  <c r="I22" i="5" s="1"/>
  <c r="A22" i="5" s="1" a="1"/>
  <c r="A7" i="5" a="1"/>
  <c r="G7" i="5" s="1"/>
  <c r="G6" i="5" s="1"/>
  <c r="A12" i="5" l="1" a="1"/>
  <c r="D12" i="5" s="1"/>
  <c r="A17" i="5" a="1"/>
  <c r="F17" i="5" s="1"/>
  <c r="I33" i="8"/>
  <c r="E33" i="8"/>
  <c r="N33" i="8"/>
  <c r="G33" i="8"/>
  <c r="D33" i="8"/>
  <c r="J33" i="8"/>
  <c r="C33" i="8"/>
  <c r="O33" i="8"/>
  <c r="F33" i="8"/>
  <c r="M33" i="8"/>
  <c r="H33" i="8"/>
  <c r="L33" i="8"/>
  <c r="K33" i="8"/>
  <c r="P33" i="8"/>
  <c r="I53" i="10"/>
  <c r="A48" i="10" a="1"/>
  <c r="E39" i="10"/>
  <c r="O39" i="10" s="1"/>
  <c r="A39" i="10"/>
  <c r="K39" i="10" s="1"/>
  <c r="C39" i="10"/>
  <c r="M39" i="10" s="1"/>
  <c r="F39" i="10"/>
  <c r="P39" i="10" s="1"/>
  <c r="D39" i="10"/>
  <c r="N39" i="10" s="1"/>
  <c r="G39" i="10"/>
  <c r="Q39" i="10" s="1"/>
  <c r="B39" i="10"/>
  <c r="L39" i="10" s="1"/>
  <c r="F21" i="10"/>
  <c r="P21" i="10" s="1"/>
  <c r="B21" i="10"/>
  <c r="L21" i="10" s="1"/>
  <c r="C21" i="10"/>
  <c r="M21" i="10" s="1"/>
  <c r="G21" i="10"/>
  <c r="Q21" i="10" s="1"/>
  <c r="A21" i="10"/>
  <c r="K21" i="10" s="1"/>
  <c r="D21" i="10"/>
  <c r="N21" i="10" s="1"/>
  <c r="E21" i="10"/>
  <c r="O21" i="10" s="1"/>
  <c r="I49" i="10"/>
  <c r="A44" i="10" a="1"/>
  <c r="E35" i="10"/>
  <c r="O35" i="10" s="1"/>
  <c r="A35" i="10"/>
  <c r="K35" i="10" s="1"/>
  <c r="C35" i="10"/>
  <c r="M35" i="10" s="1"/>
  <c r="F35" i="10"/>
  <c r="P35" i="10" s="1"/>
  <c r="D35" i="10"/>
  <c r="N35" i="10" s="1"/>
  <c r="G35" i="10"/>
  <c r="Q35" i="10" s="1"/>
  <c r="B35" i="10"/>
  <c r="L35" i="10" s="1"/>
  <c r="F22" i="10"/>
  <c r="P22" i="10" s="1"/>
  <c r="B22" i="10"/>
  <c r="L22" i="10" s="1"/>
  <c r="C22" i="10"/>
  <c r="M22" i="10" s="1"/>
  <c r="G22" i="10"/>
  <c r="Q22" i="10" s="1"/>
  <c r="A22" i="10"/>
  <c r="K22" i="10" s="1"/>
  <c r="D22" i="10"/>
  <c r="N22" i="10" s="1"/>
  <c r="E22" i="10"/>
  <c r="O22" i="10" s="1"/>
  <c r="E43" i="10"/>
  <c r="O43" i="10" s="1"/>
  <c r="A43" i="10"/>
  <c r="K43" i="10" s="1"/>
  <c r="C43" i="10"/>
  <c r="M43" i="10" s="1"/>
  <c r="F43" i="10"/>
  <c r="P43" i="10" s="1"/>
  <c r="D43" i="10"/>
  <c r="N43" i="10" s="1"/>
  <c r="G43" i="10"/>
  <c r="Q43" i="10" s="1"/>
  <c r="B43" i="10"/>
  <c r="L43" i="10" s="1"/>
  <c r="I31" i="10"/>
  <c r="A26" i="10" a="1"/>
  <c r="I45" i="10"/>
  <c r="A40" i="10" a="1"/>
  <c r="I32" i="10"/>
  <c r="A27" i="10" a="1"/>
  <c r="F22" i="5"/>
  <c r="A22" i="5"/>
  <c r="J22" i="5" s="1"/>
  <c r="I27" i="5"/>
  <c r="A27" i="5" s="1" a="1"/>
  <c r="D27" i="5" s="1"/>
  <c r="B22" i="5"/>
  <c r="E22" i="5"/>
  <c r="C22" i="5"/>
  <c r="G22" i="5"/>
  <c r="D22" i="5"/>
  <c r="D7" i="5"/>
  <c r="D6" i="5" s="1"/>
  <c r="F7" i="5"/>
  <c r="F6" i="5" s="1"/>
  <c r="B7" i="5"/>
  <c r="B6" i="5" s="1"/>
  <c r="E7" i="5"/>
  <c r="E6" i="5" s="1"/>
  <c r="A7" i="5"/>
  <c r="J7" i="5" s="1"/>
  <c r="C7" i="5"/>
  <c r="S33" i="8" l="1"/>
  <c r="G17" i="5"/>
  <c r="D17" i="5"/>
  <c r="E17" i="5"/>
  <c r="B17" i="5"/>
  <c r="C17" i="5"/>
  <c r="A17" i="5"/>
  <c r="J17" i="5" s="1"/>
  <c r="D18" i="5" s="1" a="1"/>
  <c r="D18" i="5" s="1"/>
  <c r="C12" i="5"/>
  <c r="E12" i="5"/>
  <c r="G12" i="5"/>
  <c r="F12" i="5"/>
  <c r="A12" i="5"/>
  <c r="J12" i="5" s="1"/>
  <c r="B14" i="5" s="1" a="1"/>
  <c r="B14" i="5" s="1"/>
  <c r="B12" i="5"/>
  <c r="E9" i="5" a="1"/>
  <c r="E9" i="5" s="1"/>
  <c r="D9" i="5" a="1"/>
  <c r="D9" i="5" s="1"/>
  <c r="G9" i="5" a="1"/>
  <c r="G9" i="5" s="1"/>
  <c r="G10" i="5" a="1"/>
  <c r="G10" i="5" s="1"/>
  <c r="D23" i="5" a="1"/>
  <c r="D23" i="5" s="1"/>
  <c r="I37" i="10"/>
  <c r="A32" i="10" a="1"/>
  <c r="I36" i="10"/>
  <c r="A31" i="10" a="1"/>
  <c r="E40" i="10"/>
  <c r="O40" i="10" s="1"/>
  <c r="A40" i="10"/>
  <c r="K40" i="10" s="1"/>
  <c r="C40" i="10"/>
  <c r="M40" i="10" s="1"/>
  <c r="D40" i="10"/>
  <c r="N40" i="10" s="1"/>
  <c r="B40" i="10"/>
  <c r="L40" i="10" s="1"/>
  <c r="F40" i="10"/>
  <c r="P40" i="10" s="1"/>
  <c r="G40" i="10"/>
  <c r="Q40" i="10" s="1"/>
  <c r="I50" i="10"/>
  <c r="A45" i="10" a="1"/>
  <c r="E44" i="10"/>
  <c r="O44" i="10" s="1"/>
  <c r="A44" i="10"/>
  <c r="K44" i="10" s="1"/>
  <c r="C44" i="10"/>
  <c r="M44" i="10" s="1"/>
  <c r="D44" i="10"/>
  <c r="N44" i="10" s="1"/>
  <c r="B44" i="10"/>
  <c r="L44" i="10" s="1"/>
  <c r="F44" i="10"/>
  <c r="P44" i="10" s="1"/>
  <c r="G44" i="10"/>
  <c r="Q44" i="10" s="1"/>
  <c r="E48" i="10"/>
  <c r="O48" i="10" s="1"/>
  <c r="A48" i="10"/>
  <c r="K48" i="10" s="1"/>
  <c r="F48" i="10"/>
  <c r="P48" i="10" s="1"/>
  <c r="C48" i="10"/>
  <c r="M48" i="10" s="1"/>
  <c r="D48" i="10"/>
  <c r="N48" i="10" s="1"/>
  <c r="B48" i="10"/>
  <c r="L48" i="10" s="1"/>
  <c r="G48" i="10"/>
  <c r="Q48" i="10" s="1"/>
  <c r="E27" i="10"/>
  <c r="O27" i="10" s="1"/>
  <c r="A27" i="10"/>
  <c r="K27" i="10" s="1"/>
  <c r="C27" i="10"/>
  <c r="M27" i="10" s="1"/>
  <c r="F27" i="10"/>
  <c r="P27" i="10" s="1"/>
  <c r="D27" i="10"/>
  <c r="N27" i="10" s="1"/>
  <c r="G27" i="10"/>
  <c r="Q27" i="10" s="1"/>
  <c r="B27" i="10"/>
  <c r="L27" i="10" s="1"/>
  <c r="E26" i="10"/>
  <c r="O26" i="10" s="1"/>
  <c r="A26" i="10"/>
  <c r="K26" i="10" s="1"/>
  <c r="C26" i="10"/>
  <c r="M26" i="10" s="1"/>
  <c r="G26" i="10"/>
  <c r="Q26" i="10" s="1"/>
  <c r="F26" i="10"/>
  <c r="P26" i="10" s="1"/>
  <c r="B26" i="10"/>
  <c r="L26" i="10" s="1"/>
  <c r="D26" i="10"/>
  <c r="N26" i="10" s="1"/>
  <c r="A49" i="10" a="1"/>
  <c r="I54" i="10"/>
  <c r="I58" i="10"/>
  <c r="A53" i="10" a="1"/>
  <c r="G8" i="5" a="1"/>
  <c r="G8" i="5" s="1"/>
  <c r="D8" i="5" a="1"/>
  <c r="D8" i="5" s="1"/>
  <c r="B8" i="5" a="1"/>
  <c r="B8" i="5" s="1"/>
  <c r="C6" i="5"/>
  <c r="C8" i="5" s="1" a="1"/>
  <c r="C8" i="5" s="1"/>
  <c r="G27" i="5"/>
  <c r="B27" i="5"/>
  <c r="F27" i="5"/>
  <c r="A27" i="5"/>
  <c r="J27" i="5" s="1"/>
  <c r="C27" i="5"/>
  <c r="I32" i="5"/>
  <c r="A32" i="5" s="1" a="1"/>
  <c r="E27" i="5"/>
  <c r="A6" i="5"/>
  <c r="E8" i="5" a="1"/>
  <c r="E8" i="5" s="1"/>
  <c r="B15" i="5" l="1" a="1"/>
  <c r="B15" i="5" s="1"/>
  <c r="A15" i="5" a="1"/>
  <c r="A15" i="5" s="1"/>
  <c r="E15" i="5" a="1"/>
  <c r="E15" i="5" s="1"/>
  <c r="G13" i="5" a="1"/>
  <c r="G13" i="5" s="1"/>
  <c r="B13" i="5" a="1"/>
  <c r="B13" i="5" s="1"/>
  <c r="G14" i="5" a="1"/>
  <c r="G14" i="5" s="1"/>
  <c r="D15" i="5" a="1"/>
  <c r="D15" i="5" s="1"/>
  <c r="F14" i="5" a="1"/>
  <c r="F14" i="5" s="1"/>
  <c r="E13" i="5" a="1"/>
  <c r="E13" i="5" s="1"/>
  <c r="E14" i="5" a="1"/>
  <c r="E14" i="5" s="1"/>
  <c r="D13" i="5" a="1"/>
  <c r="D13" i="5" s="1"/>
  <c r="D14" i="5" a="1"/>
  <c r="D14" i="5" s="1"/>
  <c r="F15" i="5" a="1"/>
  <c r="F15" i="5" s="1"/>
  <c r="F13" i="5" a="1"/>
  <c r="F13" i="5" s="1"/>
  <c r="G15" i="5" a="1"/>
  <c r="G15" i="5" s="1"/>
  <c r="C9" i="5" a="1"/>
  <c r="C9" i="5" s="1"/>
  <c r="A30" i="5" a="1"/>
  <c r="A30" i="5" s="1"/>
  <c r="B30" i="5" a="1"/>
  <c r="B30" i="5" s="1"/>
  <c r="A29" i="5" a="1"/>
  <c r="A29" i="5" s="1"/>
  <c r="B29" i="5" a="1"/>
  <c r="B29" i="5" s="1"/>
  <c r="A8" i="5" a="1"/>
  <c r="A8" i="5" s="1"/>
  <c r="C15" i="5" a="1"/>
  <c r="C15" i="5" s="1"/>
  <c r="I59" i="10"/>
  <c r="A54" i="10" a="1"/>
  <c r="I41" i="10"/>
  <c r="A36" i="10" a="1"/>
  <c r="C28" i="5" a="1"/>
  <c r="C28" i="5" s="1"/>
  <c r="C14" i="5" a="1"/>
  <c r="C14" i="5" s="1"/>
  <c r="E32" i="10"/>
  <c r="O32" i="10" s="1"/>
  <c r="A32" i="10"/>
  <c r="K32" i="10" s="1"/>
  <c r="C32" i="10"/>
  <c r="M32" i="10" s="1"/>
  <c r="D32" i="10"/>
  <c r="N32" i="10" s="1"/>
  <c r="B32" i="10"/>
  <c r="L32" i="10" s="1"/>
  <c r="F32" i="10"/>
  <c r="P32" i="10" s="1"/>
  <c r="G32" i="10"/>
  <c r="Q32" i="10" s="1"/>
  <c r="C13" i="5" a="1"/>
  <c r="C13" i="5" s="1"/>
  <c r="E53" i="10"/>
  <c r="O53" i="10" s="1"/>
  <c r="A53" i="10"/>
  <c r="K53" i="10" s="1"/>
  <c r="G53" i="10"/>
  <c r="Q53" i="10" s="1"/>
  <c r="B53" i="10"/>
  <c r="L53" i="10" s="1"/>
  <c r="D53" i="10"/>
  <c r="N53" i="10" s="1"/>
  <c r="F53" i="10"/>
  <c r="P53" i="10" s="1"/>
  <c r="C53" i="10"/>
  <c r="M53" i="10" s="1"/>
  <c r="E45" i="10"/>
  <c r="O45" i="10" s="1"/>
  <c r="A45" i="10"/>
  <c r="K45" i="10" s="1"/>
  <c r="C45" i="10"/>
  <c r="M45" i="10" s="1"/>
  <c r="B45" i="10"/>
  <c r="L45" i="10" s="1"/>
  <c r="G45" i="10"/>
  <c r="Q45" i="10" s="1"/>
  <c r="D45" i="10"/>
  <c r="N45" i="10" s="1"/>
  <c r="F45" i="10"/>
  <c r="P45" i="10" s="1"/>
  <c r="I42" i="10"/>
  <c r="A37" i="10" a="1"/>
  <c r="E49" i="10"/>
  <c r="O49" i="10" s="1"/>
  <c r="A49" i="10"/>
  <c r="K49" i="10" s="1"/>
  <c r="G49" i="10"/>
  <c r="Q49" i="10" s="1"/>
  <c r="B49" i="10"/>
  <c r="L49" i="10" s="1"/>
  <c r="D49" i="10"/>
  <c r="N49" i="10" s="1"/>
  <c r="F49" i="10"/>
  <c r="P49" i="10" s="1"/>
  <c r="C49" i="10"/>
  <c r="M49" i="10" s="1"/>
  <c r="I63" i="10"/>
  <c r="A58" i="10" a="1"/>
  <c r="I55" i="10"/>
  <c r="A50" i="10" a="1"/>
  <c r="E31" i="10"/>
  <c r="O31" i="10" s="1"/>
  <c r="A31" i="10"/>
  <c r="K31" i="10" s="1"/>
  <c r="C31" i="10"/>
  <c r="M31" i="10" s="1"/>
  <c r="F31" i="10"/>
  <c r="P31" i="10" s="1"/>
  <c r="D31" i="10"/>
  <c r="N31" i="10" s="1"/>
  <c r="G31" i="10"/>
  <c r="Q31" i="10" s="1"/>
  <c r="B31" i="10"/>
  <c r="L31" i="10" s="1"/>
  <c r="A13" i="5" a="1"/>
  <c r="A13" i="5" s="1"/>
  <c r="A14" i="5" a="1"/>
  <c r="A14" i="5" s="1"/>
  <c r="I37" i="5"/>
  <c r="A37" i="5" s="1" a="1"/>
  <c r="B32" i="5"/>
  <c r="G32" i="5"/>
  <c r="C32" i="5"/>
  <c r="D32" i="5"/>
  <c r="F32" i="5"/>
  <c r="A32" i="5"/>
  <c r="J32" i="5" s="1"/>
  <c r="E32" i="5"/>
  <c r="F8" i="5" a="1"/>
  <c r="F8" i="5" s="1"/>
  <c r="D10" i="5" a="1"/>
  <c r="D10" i="5" s="1"/>
  <c r="E10" i="5" a="1"/>
  <c r="E10" i="5" s="1"/>
  <c r="F10" i="5" a="1"/>
  <c r="F10" i="5" s="1"/>
  <c r="B9" i="5" a="1"/>
  <c r="B9" i="5" s="1"/>
  <c r="A9" i="5" a="1"/>
  <c r="A9" i="5" s="1"/>
  <c r="F9" i="5" a="1"/>
  <c r="F9" i="5" s="1"/>
  <c r="C10" i="5" a="1"/>
  <c r="C10" i="5" s="1"/>
  <c r="B10" i="5" a="1"/>
  <c r="B10" i="5" s="1"/>
  <c r="A10" i="5" a="1"/>
  <c r="A10" i="5" s="1"/>
  <c r="E58" i="10" l="1"/>
  <c r="O58" i="10" s="1"/>
  <c r="A58" i="10"/>
  <c r="K58" i="10" s="1"/>
  <c r="G58" i="10"/>
  <c r="Q58" i="10" s="1"/>
  <c r="B58" i="10"/>
  <c r="L58" i="10" s="1"/>
  <c r="C58" i="10"/>
  <c r="M58" i="10" s="1"/>
  <c r="D58" i="10"/>
  <c r="N58" i="10" s="1"/>
  <c r="F58" i="10"/>
  <c r="P58" i="10" s="1"/>
  <c r="I46" i="10"/>
  <c r="A41" i="10" a="1"/>
  <c r="I68" i="10"/>
  <c r="A63" i="10" a="1"/>
  <c r="E37" i="10"/>
  <c r="O37" i="10" s="1"/>
  <c r="A37" i="10"/>
  <c r="K37" i="10" s="1"/>
  <c r="C37" i="10"/>
  <c r="M37" i="10" s="1"/>
  <c r="B37" i="10"/>
  <c r="L37" i="10" s="1"/>
  <c r="G37" i="10"/>
  <c r="Q37" i="10" s="1"/>
  <c r="D37" i="10"/>
  <c r="N37" i="10" s="1"/>
  <c r="F37" i="10"/>
  <c r="P37" i="10" s="1"/>
  <c r="E54" i="10"/>
  <c r="O54" i="10" s="1"/>
  <c r="A54" i="10"/>
  <c r="K54" i="10" s="1"/>
  <c r="G54" i="10"/>
  <c r="Q54" i="10" s="1"/>
  <c r="B54" i="10"/>
  <c r="L54" i="10" s="1"/>
  <c r="F54" i="10"/>
  <c r="P54" i="10" s="1"/>
  <c r="C54" i="10"/>
  <c r="M54" i="10" s="1"/>
  <c r="D54" i="10"/>
  <c r="N54" i="10" s="1"/>
  <c r="I60" i="10"/>
  <c r="A55" i="10" a="1"/>
  <c r="E36" i="10"/>
  <c r="O36" i="10" s="1"/>
  <c r="A36" i="10"/>
  <c r="K36" i="10" s="1"/>
  <c r="C36" i="10"/>
  <c r="M36" i="10" s="1"/>
  <c r="D36" i="10"/>
  <c r="N36" i="10" s="1"/>
  <c r="B36" i="10"/>
  <c r="L36" i="10" s="1"/>
  <c r="F36" i="10"/>
  <c r="P36" i="10" s="1"/>
  <c r="G36" i="10"/>
  <c r="Q36" i="10" s="1"/>
  <c r="E50" i="10"/>
  <c r="O50" i="10" s="1"/>
  <c r="A50" i="10"/>
  <c r="K50" i="10" s="1"/>
  <c r="G50" i="10"/>
  <c r="Q50" i="10" s="1"/>
  <c r="B50" i="10"/>
  <c r="L50" i="10" s="1"/>
  <c r="F50" i="10"/>
  <c r="P50" i="10" s="1"/>
  <c r="C50" i="10"/>
  <c r="M50" i="10" s="1"/>
  <c r="D50" i="10"/>
  <c r="N50" i="10" s="1"/>
  <c r="I47" i="10"/>
  <c r="A42" i="10" a="1"/>
  <c r="I64" i="10"/>
  <c r="A59" i="10" a="1"/>
  <c r="I42" i="5"/>
  <c r="A42" i="5" s="1" a="1"/>
  <c r="A37" i="5"/>
  <c r="J37" i="5" s="1"/>
  <c r="F37" i="5"/>
  <c r="C37" i="5"/>
  <c r="E37" i="5"/>
  <c r="B37" i="5"/>
  <c r="G37" i="5"/>
  <c r="D37" i="5"/>
  <c r="A47" i="10" l="1" a="1"/>
  <c r="I52" i="10"/>
  <c r="I65" i="10"/>
  <c r="A60" i="10" a="1"/>
  <c r="I73" i="10"/>
  <c r="A68" i="10" a="1"/>
  <c r="I51" i="10"/>
  <c r="A46" i="10" a="1"/>
  <c r="E59" i="10"/>
  <c r="O59" i="10" s="1"/>
  <c r="A59" i="10"/>
  <c r="K59" i="10" s="1"/>
  <c r="G59" i="10"/>
  <c r="Q59" i="10" s="1"/>
  <c r="B59" i="10"/>
  <c r="L59" i="10" s="1"/>
  <c r="C59" i="10"/>
  <c r="M59" i="10" s="1"/>
  <c r="D59" i="10"/>
  <c r="N59" i="10" s="1"/>
  <c r="F59" i="10"/>
  <c r="P59" i="10" s="1"/>
  <c r="I69" i="10"/>
  <c r="A64" i="10" a="1"/>
  <c r="E42" i="10"/>
  <c r="O42" i="10" s="1"/>
  <c r="A42" i="10"/>
  <c r="K42" i="10" s="1"/>
  <c r="C42" i="10"/>
  <c r="M42" i="10" s="1"/>
  <c r="G42" i="10"/>
  <c r="Q42" i="10" s="1"/>
  <c r="F42" i="10"/>
  <c r="P42" i="10" s="1"/>
  <c r="B42" i="10"/>
  <c r="L42" i="10" s="1"/>
  <c r="D42" i="10"/>
  <c r="N42" i="10" s="1"/>
  <c r="E55" i="10"/>
  <c r="O55" i="10" s="1"/>
  <c r="A55" i="10"/>
  <c r="K55" i="10" s="1"/>
  <c r="G55" i="10"/>
  <c r="Q55" i="10" s="1"/>
  <c r="B55" i="10"/>
  <c r="L55" i="10" s="1"/>
  <c r="D55" i="10"/>
  <c r="N55" i="10" s="1"/>
  <c r="C55" i="10"/>
  <c r="M55" i="10" s="1"/>
  <c r="F55" i="10"/>
  <c r="P55" i="10" s="1"/>
  <c r="E63" i="10"/>
  <c r="O63" i="10" s="1"/>
  <c r="A63" i="10"/>
  <c r="K63" i="10" s="1"/>
  <c r="G63" i="10"/>
  <c r="Q63" i="10" s="1"/>
  <c r="B63" i="10"/>
  <c r="L63" i="10" s="1"/>
  <c r="C63" i="10"/>
  <c r="M63" i="10" s="1"/>
  <c r="F63" i="10"/>
  <c r="P63" i="10" s="1"/>
  <c r="D63" i="10"/>
  <c r="N63" i="10" s="1"/>
  <c r="E41" i="10"/>
  <c r="O41" i="10" s="1"/>
  <c r="A41" i="10"/>
  <c r="K41" i="10" s="1"/>
  <c r="C41" i="10"/>
  <c r="M41" i="10" s="1"/>
  <c r="B41" i="10"/>
  <c r="L41" i="10" s="1"/>
  <c r="G41" i="10"/>
  <c r="Q41" i="10" s="1"/>
  <c r="D41" i="10"/>
  <c r="N41" i="10" s="1"/>
  <c r="F41" i="10"/>
  <c r="P41" i="10" s="1"/>
  <c r="C42" i="5"/>
  <c r="D42" i="5"/>
  <c r="I47" i="5"/>
  <c r="A47" i="5" s="1" a="1"/>
  <c r="F42" i="5"/>
  <c r="A42" i="5"/>
  <c r="J42" i="5" s="1"/>
  <c r="G42" i="5"/>
  <c r="E42" i="5"/>
  <c r="B42" i="5"/>
  <c r="G20" i="5" a="1"/>
  <c r="G20" i="5" s="1"/>
  <c r="G18" i="5" a="1"/>
  <c r="G18" i="5" s="1"/>
  <c r="G19" i="5" a="1"/>
  <c r="G19" i="5" s="1"/>
  <c r="E20" i="5" a="1"/>
  <c r="E20" i="5" s="1"/>
  <c r="B18" i="5" a="1"/>
  <c r="B18" i="5" s="1"/>
  <c r="B19" i="5" a="1"/>
  <c r="B19" i="5" s="1"/>
  <c r="C20" i="5" a="1"/>
  <c r="C20" i="5" s="1"/>
  <c r="C18" i="5" a="1"/>
  <c r="C18" i="5" s="1"/>
  <c r="F19" i="5" a="1"/>
  <c r="F19" i="5" s="1"/>
  <c r="A18" i="5" a="1"/>
  <c r="A18" i="5" s="1"/>
  <c r="D19" i="5" a="1"/>
  <c r="D19" i="5" s="1"/>
  <c r="B20" i="5" a="1"/>
  <c r="B20" i="5" s="1"/>
  <c r="C19" i="5" a="1"/>
  <c r="C19" i="5" s="1"/>
  <c r="F20" i="5" a="1"/>
  <c r="F20" i="5" s="1"/>
  <c r="E19" i="5" a="1"/>
  <c r="E19" i="5" s="1"/>
  <c r="A20" i="5" a="1"/>
  <c r="A20" i="5" s="1"/>
  <c r="D20" i="5" a="1"/>
  <c r="D20" i="5" s="1"/>
  <c r="E18" i="5" a="1"/>
  <c r="E18" i="5" s="1"/>
  <c r="F18" i="5" a="1"/>
  <c r="F18" i="5" s="1"/>
  <c r="A19" i="5" a="1"/>
  <c r="A19" i="5" s="1"/>
  <c r="I74" i="10" l="1"/>
  <c r="A69" i="10" a="1"/>
  <c r="E60" i="10"/>
  <c r="O60" i="10" s="1"/>
  <c r="A60" i="10"/>
  <c r="K60" i="10" s="1"/>
  <c r="G60" i="10"/>
  <c r="Q60" i="10" s="1"/>
  <c r="B60" i="10"/>
  <c r="L60" i="10" s="1"/>
  <c r="C60" i="10"/>
  <c r="M60" i="10" s="1"/>
  <c r="D60" i="10"/>
  <c r="N60" i="10" s="1"/>
  <c r="F60" i="10"/>
  <c r="P60" i="10" s="1"/>
  <c r="I56" i="10"/>
  <c r="A51" i="10" a="1"/>
  <c r="I70" i="10"/>
  <c r="A65" i="10" a="1"/>
  <c r="E46" i="10"/>
  <c r="O46" i="10" s="1"/>
  <c r="A46" i="10"/>
  <c r="K46" i="10" s="1"/>
  <c r="C46" i="10"/>
  <c r="M46" i="10" s="1"/>
  <c r="G46" i="10"/>
  <c r="Q46" i="10" s="1"/>
  <c r="F46" i="10"/>
  <c r="P46" i="10" s="1"/>
  <c r="B46" i="10"/>
  <c r="L46" i="10" s="1"/>
  <c r="D46" i="10"/>
  <c r="N46" i="10" s="1"/>
  <c r="E68" i="10"/>
  <c r="O68" i="10" s="1"/>
  <c r="A68" i="10"/>
  <c r="K68" i="10" s="1"/>
  <c r="G68" i="10"/>
  <c r="Q68" i="10" s="1"/>
  <c r="B68" i="10"/>
  <c r="L68" i="10" s="1"/>
  <c r="C68" i="10"/>
  <c r="M68" i="10" s="1"/>
  <c r="F68" i="10"/>
  <c r="P68" i="10" s="1"/>
  <c r="D68" i="10"/>
  <c r="N68" i="10" s="1"/>
  <c r="I57" i="10"/>
  <c r="A52" i="10" a="1"/>
  <c r="E64" i="10"/>
  <c r="O64" i="10" s="1"/>
  <c r="A64" i="10"/>
  <c r="K64" i="10" s="1"/>
  <c r="G64" i="10"/>
  <c r="Q64" i="10" s="1"/>
  <c r="B64" i="10"/>
  <c r="L64" i="10" s="1"/>
  <c r="C64" i="10"/>
  <c r="M64" i="10" s="1"/>
  <c r="D64" i="10"/>
  <c r="N64" i="10" s="1"/>
  <c r="F64" i="10"/>
  <c r="P64" i="10" s="1"/>
  <c r="I78" i="10"/>
  <c r="A73" i="10" a="1"/>
  <c r="E47" i="10"/>
  <c r="O47" i="10" s="1"/>
  <c r="A47" i="10"/>
  <c r="K47" i="10" s="1"/>
  <c r="F47" i="10"/>
  <c r="P47" i="10" s="1"/>
  <c r="C47" i="10"/>
  <c r="M47" i="10" s="1"/>
  <c r="G47" i="10"/>
  <c r="Q47" i="10" s="1"/>
  <c r="B47" i="10"/>
  <c r="L47" i="10" s="1"/>
  <c r="D47" i="10"/>
  <c r="N47" i="10" s="1"/>
  <c r="I52" i="5"/>
  <c r="A52" i="5" s="1" a="1"/>
  <c r="E47" i="5"/>
  <c r="A47" i="5"/>
  <c r="J47" i="5" s="1"/>
  <c r="F47" i="5"/>
  <c r="D47" i="5"/>
  <c r="B47" i="5"/>
  <c r="C47" i="5"/>
  <c r="G47" i="5"/>
  <c r="G24" i="5" a="1"/>
  <c r="G24" i="5" s="1"/>
  <c r="G25" i="5" a="1"/>
  <c r="G25" i="5" s="1"/>
  <c r="G23" i="5" a="1"/>
  <c r="G23" i="5" s="1"/>
  <c r="E23" i="5" a="1"/>
  <c r="E23" i="5" s="1"/>
  <c r="A23" i="5" a="1"/>
  <c r="A23" i="5" s="1"/>
  <c r="D25" i="5" a="1"/>
  <c r="D25" i="5" s="1"/>
  <c r="C25" i="5" a="1"/>
  <c r="C25" i="5" s="1"/>
  <c r="A24" i="5" a="1"/>
  <c r="A24" i="5" s="1"/>
  <c r="D24" i="5" a="1"/>
  <c r="D24" i="5" s="1"/>
  <c r="B23" i="5" a="1"/>
  <c r="B23" i="5" s="1"/>
  <c r="C24" i="5" a="1"/>
  <c r="C24" i="5" s="1"/>
  <c r="F23" i="5" a="1"/>
  <c r="F23" i="5" s="1"/>
  <c r="A25" i="5" a="1"/>
  <c r="A25" i="5" s="1"/>
  <c r="B24" i="5" a="1"/>
  <c r="B24" i="5" s="1"/>
  <c r="B25" i="5" a="1"/>
  <c r="B25" i="5" s="1"/>
  <c r="C23" i="5" a="1"/>
  <c r="C23" i="5" s="1"/>
  <c r="F24" i="5" a="1"/>
  <c r="F24" i="5" s="1"/>
  <c r="F25" i="5" a="1"/>
  <c r="F25" i="5" s="1"/>
  <c r="E25" i="5" a="1"/>
  <c r="E25" i="5" s="1"/>
  <c r="E24" i="5" a="1"/>
  <c r="E24" i="5" s="1"/>
  <c r="I62" i="10" l="1"/>
  <c r="A57" i="10" a="1"/>
  <c r="I75" i="10"/>
  <c r="A70" i="10" a="1"/>
  <c r="E51" i="10"/>
  <c r="O51" i="10" s="1"/>
  <c r="A51" i="10"/>
  <c r="K51" i="10" s="1"/>
  <c r="G51" i="10"/>
  <c r="Q51" i="10" s="1"/>
  <c r="B51" i="10"/>
  <c r="L51" i="10" s="1"/>
  <c r="D51" i="10"/>
  <c r="N51" i="10" s="1"/>
  <c r="F51" i="10"/>
  <c r="P51" i="10" s="1"/>
  <c r="C51" i="10"/>
  <c r="M51" i="10" s="1"/>
  <c r="E73" i="10"/>
  <c r="O73" i="10" s="1"/>
  <c r="A73" i="10"/>
  <c r="K73" i="10" s="1"/>
  <c r="G73" i="10"/>
  <c r="Q73" i="10" s="1"/>
  <c r="B73" i="10"/>
  <c r="L73" i="10" s="1"/>
  <c r="C73" i="10"/>
  <c r="M73" i="10" s="1"/>
  <c r="F73" i="10"/>
  <c r="P73" i="10" s="1"/>
  <c r="D73" i="10"/>
  <c r="N73" i="10" s="1"/>
  <c r="I61" i="10"/>
  <c r="A56" i="10" a="1"/>
  <c r="E69" i="10"/>
  <c r="O69" i="10" s="1"/>
  <c r="A69" i="10"/>
  <c r="K69" i="10" s="1"/>
  <c r="G69" i="10"/>
  <c r="Q69" i="10" s="1"/>
  <c r="B69" i="10"/>
  <c r="L69" i="10" s="1"/>
  <c r="C69" i="10"/>
  <c r="M69" i="10" s="1"/>
  <c r="F69" i="10"/>
  <c r="P69" i="10" s="1"/>
  <c r="D69" i="10"/>
  <c r="N69" i="10" s="1"/>
  <c r="I83" i="10"/>
  <c r="A78" i="10" a="1"/>
  <c r="E52" i="10"/>
  <c r="O52" i="10" s="1"/>
  <c r="A52" i="10"/>
  <c r="K52" i="10" s="1"/>
  <c r="G52" i="10"/>
  <c r="Q52" i="10" s="1"/>
  <c r="B52" i="10"/>
  <c r="L52" i="10" s="1"/>
  <c r="C52" i="10"/>
  <c r="M52" i="10" s="1"/>
  <c r="F52" i="10"/>
  <c r="P52" i="10" s="1"/>
  <c r="D52" i="10"/>
  <c r="N52" i="10" s="1"/>
  <c r="E65" i="10"/>
  <c r="O65" i="10" s="1"/>
  <c r="A65" i="10"/>
  <c r="K65" i="10" s="1"/>
  <c r="G65" i="10"/>
  <c r="Q65" i="10" s="1"/>
  <c r="B65" i="10"/>
  <c r="L65" i="10" s="1"/>
  <c r="C65" i="10"/>
  <c r="M65" i="10" s="1"/>
  <c r="F65" i="10"/>
  <c r="P65" i="10" s="1"/>
  <c r="D65" i="10"/>
  <c r="N65" i="10" s="1"/>
  <c r="I79" i="10"/>
  <c r="A74" i="10" a="1"/>
  <c r="I57" i="5"/>
  <c r="A57" i="5" s="1" a="1"/>
  <c r="D52" i="5"/>
  <c r="G52" i="5"/>
  <c r="B52" i="5"/>
  <c r="A52" i="5"/>
  <c r="J52" i="5" s="1"/>
  <c r="F52" i="5"/>
  <c r="E52" i="5"/>
  <c r="C52" i="5"/>
  <c r="G28" i="5" a="1"/>
  <c r="G28" i="5" s="1"/>
  <c r="G30" i="5" a="1"/>
  <c r="G30" i="5" s="1"/>
  <c r="G29" i="5" a="1"/>
  <c r="G29" i="5" s="1"/>
  <c r="E29" i="5" a="1"/>
  <c r="E29" i="5" s="1"/>
  <c r="C29" i="5" a="1"/>
  <c r="C29" i="5" s="1"/>
  <c r="C30" i="5" a="1"/>
  <c r="C30" i="5" s="1"/>
  <c r="F30" i="5" a="1"/>
  <c r="F30" i="5" s="1"/>
  <c r="E28" i="5" a="1"/>
  <c r="E28" i="5" s="1"/>
  <c r="F29" i="5" a="1"/>
  <c r="F29" i="5" s="1"/>
  <c r="E30" i="5" a="1"/>
  <c r="E30" i="5" s="1"/>
  <c r="D29" i="5" a="1"/>
  <c r="D29" i="5" s="1"/>
  <c r="D28" i="5" a="1"/>
  <c r="D28" i="5" s="1"/>
  <c r="A28" i="5" a="1"/>
  <c r="A28" i="5" s="1"/>
  <c r="D30" i="5" a="1"/>
  <c r="D30" i="5" s="1"/>
  <c r="B28" i="5" a="1"/>
  <c r="B28" i="5" s="1"/>
  <c r="F28" i="5" a="1"/>
  <c r="F28" i="5" s="1"/>
  <c r="E56" i="10" l="1"/>
  <c r="O56" i="10" s="1"/>
  <c r="A56" i="10"/>
  <c r="K56" i="10" s="1"/>
  <c r="G56" i="10"/>
  <c r="Q56" i="10" s="1"/>
  <c r="B56" i="10"/>
  <c r="L56" i="10" s="1"/>
  <c r="C56" i="10"/>
  <c r="M56" i="10" s="1"/>
  <c r="D56" i="10"/>
  <c r="N56" i="10" s="1"/>
  <c r="F56" i="10"/>
  <c r="P56" i="10" s="1"/>
  <c r="E70" i="10"/>
  <c r="O70" i="10" s="1"/>
  <c r="A70" i="10"/>
  <c r="K70" i="10" s="1"/>
  <c r="G70" i="10"/>
  <c r="Q70" i="10" s="1"/>
  <c r="B70" i="10"/>
  <c r="L70" i="10" s="1"/>
  <c r="C70" i="10"/>
  <c r="M70" i="10" s="1"/>
  <c r="F70" i="10"/>
  <c r="P70" i="10" s="1"/>
  <c r="D70" i="10"/>
  <c r="N70" i="10" s="1"/>
  <c r="I66" i="10"/>
  <c r="A61" i="10" a="1"/>
  <c r="I80" i="10"/>
  <c r="A75" i="10" a="1"/>
  <c r="I88" i="10"/>
  <c r="A83" i="10" a="1"/>
  <c r="E57" i="10"/>
  <c r="O57" i="10" s="1"/>
  <c r="A57" i="10"/>
  <c r="K57" i="10" s="1"/>
  <c r="G57" i="10"/>
  <c r="Q57" i="10" s="1"/>
  <c r="B57" i="10"/>
  <c r="L57" i="10" s="1"/>
  <c r="C57" i="10"/>
  <c r="M57" i="10" s="1"/>
  <c r="D57" i="10"/>
  <c r="N57" i="10" s="1"/>
  <c r="F57" i="10"/>
  <c r="P57" i="10" s="1"/>
  <c r="I84" i="10"/>
  <c r="A79" i="10" a="1"/>
  <c r="E74" i="10"/>
  <c r="O74" i="10" s="1"/>
  <c r="A74" i="10"/>
  <c r="K74" i="10" s="1"/>
  <c r="G74" i="10"/>
  <c r="Q74" i="10" s="1"/>
  <c r="B74" i="10"/>
  <c r="L74" i="10" s="1"/>
  <c r="C74" i="10"/>
  <c r="M74" i="10" s="1"/>
  <c r="F74" i="10"/>
  <c r="P74" i="10" s="1"/>
  <c r="D74" i="10"/>
  <c r="N74" i="10" s="1"/>
  <c r="E78" i="10"/>
  <c r="O78" i="10" s="1"/>
  <c r="A78" i="10"/>
  <c r="K78" i="10" s="1"/>
  <c r="D78" i="10"/>
  <c r="N78" i="10" s="1"/>
  <c r="C78" i="10"/>
  <c r="M78" i="10" s="1"/>
  <c r="B78" i="10"/>
  <c r="L78" i="10" s="1"/>
  <c r="F78" i="10"/>
  <c r="P78" i="10" s="1"/>
  <c r="G78" i="10"/>
  <c r="Q78" i="10" s="1"/>
  <c r="I67" i="10"/>
  <c r="A62" i="10" a="1"/>
  <c r="I62" i="5"/>
  <c r="A62" i="5" s="1" a="1"/>
  <c r="C57" i="5"/>
  <c r="D57" i="5"/>
  <c r="E57" i="5"/>
  <c r="G57" i="5"/>
  <c r="A57" i="5"/>
  <c r="J57" i="5" s="1"/>
  <c r="B57" i="5"/>
  <c r="F57" i="5"/>
  <c r="G34" i="5" a="1"/>
  <c r="G34" i="5" s="1"/>
  <c r="G33" i="5" a="1"/>
  <c r="G33" i="5" s="1"/>
  <c r="G35" i="5" a="1"/>
  <c r="G35" i="5" s="1"/>
  <c r="B35" i="5" a="1"/>
  <c r="B35" i="5" s="1"/>
  <c r="B33" i="5" a="1"/>
  <c r="B33" i="5" s="1"/>
  <c r="C35" i="5" a="1"/>
  <c r="C35" i="5" s="1"/>
  <c r="F35" i="5" a="1"/>
  <c r="F35" i="5" s="1"/>
  <c r="F33" i="5" a="1"/>
  <c r="F33" i="5" s="1"/>
  <c r="A35" i="5" a="1"/>
  <c r="A35" i="5" s="1"/>
  <c r="A33" i="5" a="1"/>
  <c r="A33" i="5" s="1"/>
  <c r="D33" i="5" a="1"/>
  <c r="D33" i="5" s="1"/>
  <c r="C34" i="5" a="1"/>
  <c r="C34" i="5" s="1"/>
  <c r="D35" i="5" a="1"/>
  <c r="D35" i="5" s="1"/>
  <c r="E34" i="5" a="1"/>
  <c r="E34" i="5" s="1"/>
  <c r="B34" i="5" a="1"/>
  <c r="B34" i="5" s="1"/>
  <c r="E33" i="5" a="1"/>
  <c r="E33" i="5" s="1"/>
  <c r="F34" i="5" a="1"/>
  <c r="F34" i="5" s="1"/>
  <c r="D34" i="5" a="1"/>
  <c r="D34" i="5" s="1"/>
  <c r="E35" i="5" a="1"/>
  <c r="E35" i="5" s="1"/>
  <c r="C33" i="5" a="1"/>
  <c r="C33" i="5" s="1"/>
  <c r="A34" i="5" a="1"/>
  <c r="A34" i="5" s="1"/>
  <c r="G83" i="10" l="1"/>
  <c r="Q83" i="10" s="1"/>
  <c r="C83" i="10"/>
  <c r="M83" i="10" s="1"/>
  <c r="B83" i="10"/>
  <c r="L83" i="10" s="1"/>
  <c r="F83" i="10"/>
  <c r="P83" i="10" s="1"/>
  <c r="A83" i="10"/>
  <c r="K83" i="10" s="1"/>
  <c r="E83" i="10"/>
  <c r="O83" i="10" s="1"/>
  <c r="D83" i="10"/>
  <c r="N83" i="10" s="1"/>
  <c r="E61" i="10"/>
  <c r="O61" i="10" s="1"/>
  <c r="A61" i="10"/>
  <c r="K61" i="10" s="1"/>
  <c r="G61" i="10"/>
  <c r="Q61" i="10" s="1"/>
  <c r="B61" i="10"/>
  <c r="L61" i="10" s="1"/>
  <c r="C61" i="10"/>
  <c r="M61" i="10" s="1"/>
  <c r="D61" i="10"/>
  <c r="N61" i="10" s="1"/>
  <c r="F61" i="10"/>
  <c r="P61" i="10" s="1"/>
  <c r="I93" i="10"/>
  <c r="A88" i="10" a="1"/>
  <c r="I71" i="10"/>
  <c r="A66" i="10" a="1"/>
  <c r="I72" i="10"/>
  <c r="A67" i="10" a="1"/>
  <c r="E75" i="10"/>
  <c r="O75" i="10" s="1"/>
  <c r="A75" i="10"/>
  <c r="K75" i="10" s="1"/>
  <c r="G75" i="10"/>
  <c r="Q75" i="10" s="1"/>
  <c r="B75" i="10"/>
  <c r="L75" i="10" s="1"/>
  <c r="C75" i="10"/>
  <c r="M75" i="10" s="1"/>
  <c r="F75" i="10"/>
  <c r="P75" i="10" s="1"/>
  <c r="D75" i="10"/>
  <c r="N75" i="10" s="1"/>
  <c r="I89" i="10"/>
  <c r="A84" i="10" a="1"/>
  <c r="E62" i="10"/>
  <c r="O62" i="10" s="1"/>
  <c r="A62" i="10"/>
  <c r="K62" i="10" s="1"/>
  <c r="G62" i="10"/>
  <c r="Q62" i="10" s="1"/>
  <c r="B62" i="10"/>
  <c r="L62" i="10" s="1"/>
  <c r="C62" i="10"/>
  <c r="M62" i="10" s="1"/>
  <c r="D62" i="10"/>
  <c r="N62" i="10" s="1"/>
  <c r="F62" i="10"/>
  <c r="P62" i="10" s="1"/>
  <c r="G79" i="10"/>
  <c r="Q79" i="10" s="1"/>
  <c r="C79" i="10"/>
  <c r="M79" i="10" s="1"/>
  <c r="B79" i="10"/>
  <c r="L79" i="10" s="1"/>
  <c r="F79" i="10"/>
  <c r="P79" i="10" s="1"/>
  <c r="A79" i="10"/>
  <c r="K79" i="10" s="1"/>
  <c r="E79" i="10"/>
  <c r="O79" i="10" s="1"/>
  <c r="D79" i="10"/>
  <c r="N79" i="10" s="1"/>
  <c r="I85" i="10"/>
  <c r="A80" i="10" a="1"/>
  <c r="I67" i="5"/>
  <c r="A67" i="5" s="1" a="1"/>
  <c r="B62" i="5"/>
  <c r="G62" i="5"/>
  <c r="C62" i="5"/>
  <c r="F62" i="5"/>
  <c r="E62" i="5"/>
  <c r="D62" i="5"/>
  <c r="A62" i="5"/>
  <c r="J62" i="5" s="1"/>
  <c r="G38" i="5" a="1"/>
  <c r="G38" i="5" s="1"/>
  <c r="G40" i="5" a="1"/>
  <c r="G40" i="5" s="1"/>
  <c r="G39" i="5" a="1"/>
  <c r="G39" i="5" s="1"/>
  <c r="F40" i="5" a="1"/>
  <c r="F40" i="5" s="1"/>
  <c r="D40" i="5" a="1"/>
  <c r="D40" i="5" s="1"/>
  <c r="B40" i="5" a="1"/>
  <c r="B40" i="5" s="1"/>
  <c r="C39" i="5" a="1"/>
  <c r="C39" i="5" s="1"/>
  <c r="C38" i="5" a="1"/>
  <c r="C38" i="5" s="1"/>
  <c r="A40" i="5" a="1"/>
  <c r="A40" i="5" s="1"/>
  <c r="B39" i="5" a="1"/>
  <c r="B39" i="5" s="1"/>
  <c r="F39" i="5" a="1"/>
  <c r="F39" i="5" s="1"/>
  <c r="D38" i="5" a="1"/>
  <c r="D38" i="5" s="1"/>
  <c r="E40" i="5" a="1"/>
  <c r="E40" i="5" s="1"/>
  <c r="B38" i="5" a="1"/>
  <c r="B38" i="5" s="1"/>
  <c r="C40" i="5" a="1"/>
  <c r="C40" i="5" s="1"/>
  <c r="F38" i="5" a="1"/>
  <c r="F38" i="5" s="1"/>
  <c r="A38" i="5" a="1"/>
  <c r="A38" i="5" s="1"/>
  <c r="A39" i="5" a="1"/>
  <c r="A39" i="5" s="1"/>
  <c r="E39" i="5" a="1"/>
  <c r="E39" i="5" s="1"/>
  <c r="E38" i="5" a="1"/>
  <c r="E38" i="5" s="1"/>
  <c r="D39" i="5" a="1"/>
  <c r="D39" i="5" s="1"/>
  <c r="A85" i="10" l="1" a="1"/>
  <c r="I90" i="10"/>
  <c r="A89" i="10" a="1"/>
  <c r="I94" i="10"/>
  <c r="G88" i="10"/>
  <c r="Q88" i="10" s="1"/>
  <c r="C88" i="10"/>
  <c r="M88" i="10" s="1"/>
  <c r="F88" i="10"/>
  <c r="P88" i="10" s="1"/>
  <c r="B88" i="10"/>
  <c r="L88" i="10" s="1"/>
  <c r="E88" i="10"/>
  <c r="O88" i="10" s="1"/>
  <c r="D88" i="10"/>
  <c r="N88" i="10" s="1"/>
  <c r="A88" i="10"/>
  <c r="K88" i="10" s="1"/>
  <c r="I77" i="10"/>
  <c r="A72" i="10" a="1"/>
  <c r="I98" i="10"/>
  <c r="A98" i="10" s="1" a="1"/>
  <c r="A93" i="10" a="1"/>
  <c r="E67" i="10"/>
  <c r="O67" i="10" s="1"/>
  <c r="A67" i="10"/>
  <c r="K67" i="10" s="1"/>
  <c r="G67" i="10"/>
  <c r="Q67" i="10" s="1"/>
  <c r="B67" i="10"/>
  <c r="L67" i="10" s="1"/>
  <c r="C67" i="10"/>
  <c r="M67" i="10" s="1"/>
  <c r="F67" i="10"/>
  <c r="P67" i="10" s="1"/>
  <c r="D67" i="10"/>
  <c r="N67" i="10" s="1"/>
  <c r="E66" i="10"/>
  <c r="O66" i="10" s="1"/>
  <c r="A66" i="10"/>
  <c r="K66" i="10" s="1"/>
  <c r="G66" i="10"/>
  <c r="Q66" i="10" s="1"/>
  <c r="B66" i="10"/>
  <c r="L66" i="10" s="1"/>
  <c r="C66" i="10"/>
  <c r="M66" i="10" s="1"/>
  <c r="F66" i="10"/>
  <c r="P66" i="10" s="1"/>
  <c r="D66" i="10"/>
  <c r="N66" i="10" s="1"/>
  <c r="G80" i="10"/>
  <c r="Q80" i="10" s="1"/>
  <c r="C80" i="10"/>
  <c r="M80" i="10" s="1"/>
  <c r="B80" i="10"/>
  <c r="L80" i="10" s="1"/>
  <c r="F80" i="10"/>
  <c r="P80" i="10" s="1"/>
  <c r="A80" i="10"/>
  <c r="K80" i="10" s="1"/>
  <c r="D80" i="10"/>
  <c r="N80" i="10" s="1"/>
  <c r="E80" i="10"/>
  <c r="O80" i="10" s="1"/>
  <c r="G84" i="10"/>
  <c r="Q84" i="10" s="1"/>
  <c r="C84" i="10"/>
  <c r="M84" i="10" s="1"/>
  <c r="B84" i="10"/>
  <c r="L84" i="10" s="1"/>
  <c r="F84" i="10"/>
  <c r="P84" i="10" s="1"/>
  <c r="A84" i="10"/>
  <c r="K84" i="10" s="1"/>
  <c r="D84" i="10"/>
  <c r="N84" i="10" s="1"/>
  <c r="E84" i="10"/>
  <c r="O84" i="10" s="1"/>
  <c r="I76" i="10"/>
  <c r="A71" i="10" a="1"/>
  <c r="I72" i="5"/>
  <c r="A72" i="5" s="1" a="1"/>
  <c r="A67" i="5"/>
  <c r="J67" i="5" s="1"/>
  <c r="E67" i="5"/>
  <c r="F67" i="5"/>
  <c r="D67" i="5"/>
  <c r="C67" i="5"/>
  <c r="G67" i="5"/>
  <c r="B67" i="5"/>
  <c r="G45" i="5" a="1"/>
  <c r="G45" i="5" s="1"/>
  <c r="G43" i="5" a="1"/>
  <c r="G43" i="5" s="1"/>
  <c r="E45" i="5" a="1"/>
  <c r="E45" i="5" s="1"/>
  <c r="B44" i="5" a="1"/>
  <c r="B44" i="5" s="1"/>
  <c r="F44" i="5" a="1"/>
  <c r="F44" i="5" s="1"/>
  <c r="B45" i="5" a="1"/>
  <c r="B45" i="5" s="1"/>
  <c r="F43" i="5" a="1"/>
  <c r="F43" i="5" s="1"/>
  <c r="A44" i="5" a="1"/>
  <c r="A44" i="5" s="1"/>
  <c r="A45" i="5" a="1"/>
  <c r="A45" i="5" s="1"/>
  <c r="G44" i="5" a="1"/>
  <c r="G44" i="5" s="1"/>
  <c r="C43" i="5" a="1"/>
  <c r="C43" i="5" s="1"/>
  <c r="A43" i="5" a="1"/>
  <c r="A43" i="5" s="1"/>
  <c r="E44" i="5" a="1"/>
  <c r="E44" i="5" s="1"/>
  <c r="B43" i="5" a="1"/>
  <c r="B43" i="5" s="1"/>
  <c r="C45" i="5" a="1"/>
  <c r="C45" i="5" s="1"/>
  <c r="C44" i="5" a="1"/>
  <c r="C44" i="5" s="1"/>
  <c r="D44" i="5" a="1"/>
  <c r="D44" i="5" s="1"/>
  <c r="D45" i="5" a="1"/>
  <c r="D45" i="5" s="1"/>
  <c r="F45" i="5" a="1"/>
  <c r="F45" i="5" s="1"/>
  <c r="E43" i="5" a="1"/>
  <c r="E43" i="5" s="1"/>
  <c r="D43" i="5" a="1"/>
  <c r="D43" i="5" s="1"/>
  <c r="I82" i="10" l="1"/>
  <c r="A77" i="10" a="1"/>
  <c r="I99" i="10"/>
  <c r="A99" i="10" s="1" a="1"/>
  <c r="A94" i="10" a="1"/>
  <c r="G93" i="10"/>
  <c r="Q93" i="10" s="1"/>
  <c r="C93" i="10"/>
  <c r="M93" i="10" s="1"/>
  <c r="F93" i="10"/>
  <c r="P93" i="10" s="1"/>
  <c r="B93" i="10"/>
  <c r="L93" i="10" s="1"/>
  <c r="E93" i="10"/>
  <c r="O93" i="10" s="1"/>
  <c r="D93" i="10"/>
  <c r="N93" i="10" s="1"/>
  <c r="A93" i="10"/>
  <c r="K93" i="10" s="1"/>
  <c r="G89" i="10"/>
  <c r="Q89" i="10" s="1"/>
  <c r="C89" i="10"/>
  <c r="M89" i="10" s="1"/>
  <c r="F89" i="10"/>
  <c r="P89" i="10" s="1"/>
  <c r="B89" i="10"/>
  <c r="L89" i="10" s="1"/>
  <c r="E89" i="10"/>
  <c r="O89" i="10" s="1"/>
  <c r="D89" i="10"/>
  <c r="N89" i="10" s="1"/>
  <c r="A89" i="10"/>
  <c r="K89" i="10" s="1"/>
  <c r="I81" i="10"/>
  <c r="A76" i="10" a="1"/>
  <c r="G98" i="10"/>
  <c r="Q98" i="10" s="1"/>
  <c r="C98" i="10"/>
  <c r="M98" i="10" s="1"/>
  <c r="F98" i="10"/>
  <c r="P98" i="10" s="1"/>
  <c r="B98" i="10"/>
  <c r="L98" i="10" s="1"/>
  <c r="E98" i="10"/>
  <c r="O98" i="10" s="1"/>
  <c r="D98" i="10"/>
  <c r="N98" i="10" s="1"/>
  <c r="A98" i="10"/>
  <c r="K98" i="10" s="1"/>
  <c r="I95" i="10"/>
  <c r="A90" i="10" a="1"/>
  <c r="E71" i="10"/>
  <c r="O71" i="10" s="1"/>
  <c r="A71" i="10"/>
  <c r="K71" i="10" s="1"/>
  <c r="G71" i="10"/>
  <c r="Q71" i="10" s="1"/>
  <c r="B71" i="10"/>
  <c r="L71" i="10" s="1"/>
  <c r="C71" i="10"/>
  <c r="M71" i="10" s="1"/>
  <c r="F71" i="10"/>
  <c r="P71" i="10" s="1"/>
  <c r="D71" i="10"/>
  <c r="N71" i="10" s="1"/>
  <c r="E72" i="10"/>
  <c r="O72" i="10" s="1"/>
  <c r="A72" i="10"/>
  <c r="K72" i="10" s="1"/>
  <c r="G72" i="10"/>
  <c r="Q72" i="10" s="1"/>
  <c r="B72" i="10"/>
  <c r="L72" i="10" s="1"/>
  <c r="C72" i="10"/>
  <c r="M72" i="10" s="1"/>
  <c r="F72" i="10"/>
  <c r="P72" i="10" s="1"/>
  <c r="D72" i="10"/>
  <c r="N72" i="10" s="1"/>
  <c r="G85" i="10"/>
  <c r="Q85" i="10" s="1"/>
  <c r="C85" i="10"/>
  <c r="M85" i="10" s="1"/>
  <c r="B85" i="10"/>
  <c r="L85" i="10" s="1"/>
  <c r="F85" i="10"/>
  <c r="P85" i="10" s="1"/>
  <c r="A85" i="10"/>
  <c r="K85" i="10" s="1"/>
  <c r="E85" i="10"/>
  <c r="O85" i="10" s="1"/>
  <c r="D85" i="10"/>
  <c r="N85" i="10" s="1"/>
  <c r="I77" i="5"/>
  <c r="A77" i="5" s="1" a="1"/>
  <c r="F72" i="5"/>
  <c r="B72" i="5"/>
  <c r="G72" i="5"/>
  <c r="D72" i="5"/>
  <c r="C72" i="5"/>
  <c r="A72" i="5"/>
  <c r="J72" i="5" s="1"/>
  <c r="E72" i="5"/>
  <c r="E50" i="5" a="1"/>
  <c r="E50" i="5" s="1"/>
  <c r="C48" i="5" a="1"/>
  <c r="C48" i="5" s="1"/>
  <c r="B48" i="5" a="1"/>
  <c r="B48" i="5" s="1"/>
  <c r="F48" i="5" a="1"/>
  <c r="F48" i="5" s="1"/>
  <c r="A49" i="5" a="1"/>
  <c r="A49" i="5" s="1"/>
  <c r="D49" i="5" a="1"/>
  <c r="D49" i="5" s="1"/>
  <c r="E48" i="5" a="1"/>
  <c r="E48" i="5" s="1"/>
  <c r="E49" i="5" a="1"/>
  <c r="E49" i="5" s="1"/>
  <c r="C49" i="5" a="1"/>
  <c r="C49" i="5" s="1"/>
  <c r="A50" i="5" a="1"/>
  <c r="A50" i="5" s="1"/>
  <c r="A48" i="5" a="1"/>
  <c r="A48" i="5" s="1"/>
  <c r="D50" i="5" a="1"/>
  <c r="D50" i="5" s="1"/>
  <c r="B50" i="5" a="1"/>
  <c r="B50" i="5" s="1"/>
  <c r="B49" i="5" a="1"/>
  <c r="B49" i="5" s="1"/>
  <c r="C50" i="5" a="1"/>
  <c r="C50" i="5" s="1"/>
  <c r="F50" i="5" a="1"/>
  <c r="F50" i="5" s="1"/>
  <c r="F49" i="5" a="1"/>
  <c r="F49" i="5" s="1"/>
  <c r="D48" i="5" a="1"/>
  <c r="D48" i="5" s="1"/>
  <c r="G48" i="5" a="1"/>
  <c r="G48" i="5" s="1"/>
  <c r="G49" i="5" a="1"/>
  <c r="G49" i="5" s="1"/>
  <c r="G50" i="5" a="1"/>
  <c r="G50" i="5" s="1"/>
  <c r="A95" i="10" l="1" a="1"/>
  <c r="B95" i="10" s="1"/>
  <c r="L95" i="10" s="1"/>
  <c r="I100" i="10"/>
  <c r="A100" i="10" s="1" a="1"/>
  <c r="G94" i="10"/>
  <c r="Q94" i="10" s="1"/>
  <c r="C94" i="10"/>
  <c r="M94" i="10" s="1"/>
  <c r="F94" i="10"/>
  <c r="P94" i="10" s="1"/>
  <c r="B94" i="10"/>
  <c r="L94" i="10" s="1"/>
  <c r="E94" i="10"/>
  <c r="O94" i="10" s="1"/>
  <c r="D94" i="10"/>
  <c r="N94" i="10" s="1"/>
  <c r="A94" i="10"/>
  <c r="K94" i="10" s="1"/>
  <c r="I86" i="10"/>
  <c r="A81" i="10" a="1"/>
  <c r="G99" i="10"/>
  <c r="Q99" i="10" s="1"/>
  <c r="C99" i="10"/>
  <c r="M99" i="10" s="1"/>
  <c r="F99" i="10"/>
  <c r="P99" i="10" s="1"/>
  <c r="B99" i="10"/>
  <c r="L99" i="10" s="1"/>
  <c r="E99" i="10"/>
  <c r="O99" i="10" s="1"/>
  <c r="D99" i="10"/>
  <c r="N99" i="10" s="1"/>
  <c r="A99" i="10"/>
  <c r="K99" i="10" s="1"/>
  <c r="G95" i="10"/>
  <c r="Q95" i="10" s="1"/>
  <c r="E95" i="10"/>
  <c r="O95" i="10" s="1"/>
  <c r="A95" i="10"/>
  <c r="K95" i="10" s="1"/>
  <c r="E77" i="10"/>
  <c r="O77" i="10" s="1"/>
  <c r="A77" i="10"/>
  <c r="K77" i="10" s="1"/>
  <c r="G77" i="10"/>
  <c r="Q77" i="10" s="1"/>
  <c r="B77" i="10"/>
  <c r="L77" i="10" s="1"/>
  <c r="F77" i="10"/>
  <c r="P77" i="10" s="1"/>
  <c r="C77" i="10"/>
  <c r="M77" i="10" s="1"/>
  <c r="D77" i="10"/>
  <c r="N77" i="10" s="1"/>
  <c r="E76" i="10"/>
  <c r="O76" i="10" s="1"/>
  <c r="A76" i="10"/>
  <c r="K76" i="10" s="1"/>
  <c r="G76" i="10"/>
  <c r="Q76" i="10" s="1"/>
  <c r="B76" i="10"/>
  <c r="L76" i="10" s="1"/>
  <c r="F76" i="10"/>
  <c r="P76" i="10" s="1"/>
  <c r="C76" i="10"/>
  <c r="M76" i="10" s="1"/>
  <c r="D76" i="10"/>
  <c r="N76" i="10" s="1"/>
  <c r="G90" i="10"/>
  <c r="Q90" i="10" s="1"/>
  <c r="C90" i="10"/>
  <c r="M90" i="10" s="1"/>
  <c r="F90" i="10"/>
  <c r="P90" i="10" s="1"/>
  <c r="B90" i="10"/>
  <c r="L90" i="10" s="1"/>
  <c r="E90" i="10"/>
  <c r="O90" i="10" s="1"/>
  <c r="D90" i="10"/>
  <c r="N90" i="10" s="1"/>
  <c r="A90" i="10"/>
  <c r="K90" i="10" s="1"/>
  <c r="I87" i="10"/>
  <c r="A82" i="10" a="1"/>
  <c r="I82" i="5"/>
  <c r="A82" i="5" s="1" a="1"/>
  <c r="B77" i="5"/>
  <c r="A77" i="5"/>
  <c r="J77" i="5" s="1"/>
  <c r="E77" i="5"/>
  <c r="F77" i="5"/>
  <c r="D77" i="5"/>
  <c r="C77" i="5"/>
  <c r="G77" i="5"/>
  <c r="G54" i="5" a="1"/>
  <c r="G54" i="5" s="1"/>
  <c r="B54" i="5" a="1"/>
  <c r="B54" i="5" s="1"/>
  <c r="D55" i="5" a="1"/>
  <c r="D55" i="5" s="1"/>
  <c r="F54" i="5" a="1"/>
  <c r="F54" i="5" s="1"/>
  <c r="D54" i="5" a="1"/>
  <c r="D54" i="5" s="1"/>
  <c r="G53" i="5" a="1"/>
  <c r="G53" i="5" s="1"/>
  <c r="D53" i="5" a="1"/>
  <c r="D53" i="5" s="1"/>
  <c r="A55" i="5" a="1"/>
  <c r="A55" i="5" s="1"/>
  <c r="A54" i="5" a="1"/>
  <c r="A54" i="5" s="1"/>
  <c r="B53" i="5" a="1"/>
  <c r="B53" i="5" s="1"/>
  <c r="E54" i="5" a="1"/>
  <c r="E54" i="5" s="1"/>
  <c r="E55" i="5" a="1"/>
  <c r="E55" i="5" s="1"/>
  <c r="C54" i="5" a="1"/>
  <c r="C54" i="5" s="1"/>
  <c r="F55" i="5" a="1"/>
  <c r="F55" i="5" s="1"/>
  <c r="C53" i="5" a="1"/>
  <c r="C53" i="5" s="1"/>
  <c r="G55" i="5" a="1"/>
  <c r="G55" i="5" s="1"/>
  <c r="E53" i="5" a="1"/>
  <c r="E53" i="5" s="1"/>
  <c r="B55" i="5" a="1"/>
  <c r="B55" i="5" s="1"/>
  <c r="F53" i="5" a="1"/>
  <c r="F53" i="5" s="1"/>
  <c r="A53" i="5" a="1"/>
  <c r="A53" i="5" s="1"/>
  <c r="C55" i="5" a="1"/>
  <c r="C55" i="5" s="1"/>
  <c r="F95" i="10" l="1"/>
  <c r="P95" i="10" s="1"/>
  <c r="D95" i="10"/>
  <c r="N95" i="10" s="1"/>
  <c r="C95" i="10"/>
  <c r="M95" i="10" s="1"/>
  <c r="A100" i="10"/>
  <c r="K100" i="10" s="1"/>
  <c r="C100" i="10"/>
  <c r="M100" i="10" s="1"/>
  <c r="F100" i="10"/>
  <c r="P100" i="10" s="1"/>
  <c r="G100" i="10"/>
  <c r="Q100" i="10" s="1"/>
  <c r="E100" i="10"/>
  <c r="O100" i="10" s="1"/>
  <c r="D100" i="10"/>
  <c r="N100" i="10" s="1"/>
  <c r="B100" i="10"/>
  <c r="L100" i="10" s="1"/>
  <c r="G82" i="10"/>
  <c r="Q82" i="10" s="1"/>
  <c r="C82" i="10"/>
  <c r="M82" i="10" s="1"/>
  <c r="B82" i="10"/>
  <c r="L82" i="10" s="1"/>
  <c r="F82" i="10"/>
  <c r="P82" i="10" s="1"/>
  <c r="A82" i="10"/>
  <c r="K82" i="10" s="1"/>
  <c r="D82" i="10"/>
  <c r="N82" i="10" s="1"/>
  <c r="E82" i="10"/>
  <c r="O82" i="10" s="1"/>
  <c r="A86" i="10" a="1"/>
  <c r="I91" i="10"/>
  <c r="A87" i="10" a="1"/>
  <c r="I92" i="10"/>
  <c r="G81" i="10"/>
  <c r="Q81" i="10" s="1"/>
  <c r="C81" i="10"/>
  <c r="M81" i="10" s="1"/>
  <c r="B81" i="10"/>
  <c r="L81" i="10" s="1"/>
  <c r="F81" i="10"/>
  <c r="P81" i="10" s="1"/>
  <c r="A81" i="10"/>
  <c r="K81" i="10" s="1"/>
  <c r="E81" i="10"/>
  <c r="O81" i="10" s="1"/>
  <c r="D81" i="10"/>
  <c r="N81" i="10" s="1"/>
  <c r="I87" i="5"/>
  <c r="A87" i="5" s="1" a="1"/>
  <c r="F82" i="5"/>
  <c r="D82" i="5"/>
  <c r="C82" i="5"/>
  <c r="G82" i="5"/>
  <c r="A82" i="5"/>
  <c r="J82" i="5" s="1"/>
  <c r="B82" i="5"/>
  <c r="E82" i="5"/>
  <c r="G60" i="5" a="1"/>
  <c r="G60" i="5" s="1"/>
  <c r="D59" i="5" a="1"/>
  <c r="D59" i="5" s="1"/>
  <c r="C59" i="5" a="1"/>
  <c r="C59" i="5" s="1"/>
  <c r="A59" i="5" a="1"/>
  <c r="A59" i="5" s="1"/>
  <c r="D58" i="5" a="1"/>
  <c r="D58" i="5" s="1"/>
  <c r="B59" i="5" a="1"/>
  <c r="B59" i="5" s="1"/>
  <c r="C60" i="5" a="1"/>
  <c r="C60" i="5" s="1"/>
  <c r="A58" i="5" a="1"/>
  <c r="A58" i="5" s="1"/>
  <c r="G58" i="5" a="1"/>
  <c r="G58" i="5" s="1"/>
  <c r="D60" i="5" a="1"/>
  <c r="D60" i="5" s="1"/>
  <c r="F60" i="5" a="1"/>
  <c r="F60" i="5" s="1"/>
  <c r="E60" i="5" a="1"/>
  <c r="E60" i="5" s="1"/>
  <c r="E58" i="5" a="1"/>
  <c r="E58" i="5" s="1"/>
  <c r="B58" i="5" a="1"/>
  <c r="B58" i="5" s="1"/>
  <c r="E59" i="5" a="1"/>
  <c r="E59" i="5" s="1"/>
  <c r="C58" i="5" a="1"/>
  <c r="C58" i="5" s="1"/>
  <c r="F58" i="5" a="1"/>
  <c r="F58" i="5" s="1"/>
  <c r="A60" i="5" a="1"/>
  <c r="A60" i="5" s="1"/>
  <c r="B60" i="5" a="1"/>
  <c r="B60" i="5" s="1"/>
  <c r="G59" i="5" a="1"/>
  <c r="G59" i="5" s="1"/>
  <c r="F59" i="5" a="1"/>
  <c r="F59" i="5" s="1"/>
  <c r="G86" i="10" l="1"/>
  <c r="Q86" i="10" s="1"/>
  <c r="C86" i="10"/>
  <c r="M86" i="10" s="1"/>
  <c r="B86" i="10"/>
  <c r="L86" i="10" s="1"/>
  <c r="F86" i="10"/>
  <c r="P86" i="10" s="1"/>
  <c r="A86" i="10"/>
  <c r="K86" i="10" s="1"/>
  <c r="E86" i="10"/>
  <c r="O86" i="10" s="1"/>
  <c r="D86" i="10"/>
  <c r="N86" i="10" s="1"/>
  <c r="I97" i="10"/>
  <c r="A97" i="10" s="1" a="1"/>
  <c r="A92" i="10" a="1"/>
  <c r="G87" i="10"/>
  <c r="Q87" i="10" s="1"/>
  <c r="C87" i="10"/>
  <c r="M87" i="10" s="1"/>
  <c r="F87" i="10"/>
  <c r="P87" i="10" s="1"/>
  <c r="B87" i="10"/>
  <c r="L87" i="10" s="1"/>
  <c r="E87" i="10"/>
  <c r="O87" i="10" s="1"/>
  <c r="D87" i="10"/>
  <c r="N87" i="10" s="1"/>
  <c r="A87" i="10"/>
  <c r="K87" i="10" s="1"/>
  <c r="A91" i="10" a="1"/>
  <c r="I96" i="10"/>
  <c r="A96" i="10" s="1" a="1"/>
  <c r="I92" i="5"/>
  <c r="D87" i="5"/>
  <c r="E87" i="5"/>
  <c r="A87" i="5"/>
  <c r="J87" i="5" s="1"/>
  <c r="F87" i="5"/>
  <c r="B87" i="5"/>
  <c r="G87" i="5"/>
  <c r="C87" i="5"/>
  <c r="G64" i="5" a="1"/>
  <c r="G64" i="5" s="1"/>
  <c r="C63" i="5" a="1"/>
  <c r="C63" i="5" s="1"/>
  <c r="F64" i="5" a="1"/>
  <c r="F64" i="5" s="1"/>
  <c r="B64" i="5" a="1"/>
  <c r="B64" i="5" s="1"/>
  <c r="A64" i="5" a="1"/>
  <c r="A64" i="5" s="1"/>
  <c r="G65" i="5" a="1"/>
  <c r="G65" i="5" s="1"/>
  <c r="B63" i="5" a="1"/>
  <c r="B63" i="5" s="1"/>
  <c r="E65" i="5" a="1"/>
  <c r="E65" i="5" s="1"/>
  <c r="E63" i="5" a="1"/>
  <c r="E63" i="5" s="1"/>
  <c r="D65" i="5" a="1"/>
  <c r="D65" i="5" s="1"/>
  <c r="C64" i="5" a="1"/>
  <c r="C64" i="5" s="1"/>
  <c r="E64" i="5" a="1"/>
  <c r="E64" i="5" s="1"/>
  <c r="A63" i="5" a="1"/>
  <c r="A63" i="5" s="1"/>
  <c r="G63" i="5" a="1"/>
  <c r="G63" i="5" s="1"/>
  <c r="C65" i="5" a="1"/>
  <c r="C65" i="5" s="1"/>
  <c r="B65" i="5" a="1"/>
  <c r="B65" i="5" s="1"/>
  <c r="D64" i="5" a="1"/>
  <c r="D64" i="5" s="1"/>
  <c r="A65" i="5" a="1"/>
  <c r="A65" i="5" s="1"/>
  <c r="F65" i="5" a="1"/>
  <c r="F65" i="5" s="1"/>
  <c r="F63" i="5" a="1"/>
  <c r="F63" i="5" s="1"/>
  <c r="D63" i="5" a="1"/>
  <c r="D63" i="5" s="1"/>
  <c r="A92" i="5" l="1" a="1"/>
  <c r="I97" i="5"/>
  <c r="A97" i="5" s="1" a="1"/>
  <c r="G97" i="10"/>
  <c r="Q97" i="10" s="1"/>
  <c r="C97" i="10"/>
  <c r="M97" i="10" s="1"/>
  <c r="F97" i="10"/>
  <c r="P97" i="10" s="1"/>
  <c r="B97" i="10"/>
  <c r="L97" i="10" s="1"/>
  <c r="E97" i="10"/>
  <c r="O97" i="10" s="1"/>
  <c r="D97" i="10"/>
  <c r="N97" i="10" s="1"/>
  <c r="A97" i="10"/>
  <c r="K97" i="10" s="1"/>
  <c r="G96" i="10"/>
  <c r="Q96" i="10" s="1"/>
  <c r="C96" i="10"/>
  <c r="M96" i="10" s="1"/>
  <c r="F96" i="10"/>
  <c r="P96" i="10" s="1"/>
  <c r="B96" i="10"/>
  <c r="L96" i="10" s="1"/>
  <c r="E96" i="10"/>
  <c r="O96" i="10" s="1"/>
  <c r="D96" i="10"/>
  <c r="N96" i="10" s="1"/>
  <c r="A96" i="10"/>
  <c r="K96" i="10" s="1"/>
  <c r="G91" i="10"/>
  <c r="Q91" i="10" s="1"/>
  <c r="C91" i="10"/>
  <c r="M91" i="10" s="1"/>
  <c r="F91" i="10"/>
  <c r="P91" i="10" s="1"/>
  <c r="B91" i="10"/>
  <c r="L91" i="10" s="1"/>
  <c r="E91" i="10"/>
  <c r="O91" i="10" s="1"/>
  <c r="D91" i="10"/>
  <c r="N91" i="10" s="1"/>
  <c r="A91" i="10"/>
  <c r="K91" i="10" s="1"/>
  <c r="G92" i="10"/>
  <c r="Q92" i="10" s="1"/>
  <c r="C92" i="10"/>
  <c r="M92" i="10" s="1"/>
  <c r="F92" i="10"/>
  <c r="P92" i="10" s="1"/>
  <c r="B92" i="10"/>
  <c r="L92" i="10" s="1"/>
  <c r="E92" i="10"/>
  <c r="O92" i="10" s="1"/>
  <c r="D92" i="10"/>
  <c r="N92" i="10" s="1"/>
  <c r="A92" i="10"/>
  <c r="K92" i="10" s="1"/>
  <c r="A92" i="5"/>
  <c r="J92" i="5" s="1"/>
  <c r="D92" i="5"/>
  <c r="E92" i="5"/>
  <c r="C92" i="5"/>
  <c r="G92" i="5"/>
  <c r="F92" i="5"/>
  <c r="B92" i="5"/>
  <c r="G69" i="5" a="1"/>
  <c r="G69" i="5" s="1"/>
  <c r="F69" i="5" a="1"/>
  <c r="F69" i="5" s="1"/>
  <c r="B68" i="5" a="1"/>
  <c r="B68" i="5" s="1"/>
  <c r="E69" i="5" a="1"/>
  <c r="E69" i="5" s="1"/>
  <c r="F70" i="5" a="1"/>
  <c r="F70" i="5" s="1"/>
  <c r="A70" i="5" a="1"/>
  <c r="A70" i="5" s="1"/>
  <c r="E68" i="5" a="1"/>
  <c r="E68" i="5" s="1"/>
  <c r="B70" i="5" a="1"/>
  <c r="B70" i="5" s="1"/>
  <c r="D69" i="5" a="1"/>
  <c r="D69" i="5" s="1"/>
  <c r="A68" i="5" a="1"/>
  <c r="A68" i="5" s="1"/>
  <c r="B69" i="5" a="1"/>
  <c r="B69" i="5" s="1"/>
  <c r="E70" i="5" a="1"/>
  <c r="E70" i="5" s="1"/>
  <c r="C68" i="5" a="1"/>
  <c r="C68" i="5" s="1"/>
  <c r="A69" i="5" a="1"/>
  <c r="A69" i="5" s="1"/>
  <c r="G70" i="5" a="1"/>
  <c r="G70" i="5" s="1"/>
  <c r="F68" i="5" a="1"/>
  <c r="F68" i="5" s="1"/>
  <c r="D68" i="5" a="1"/>
  <c r="D68" i="5" s="1"/>
  <c r="D70" i="5" a="1"/>
  <c r="D70" i="5" s="1"/>
  <c r="C70" i="5" a="1"/>
  <c r="C70" i="5" s="1"/>
  <c r="C69" i="5" a="1"/>
  <c r="C69" i="5" s="1"/>
  <c r="G68" i="5" a="1"/>
  <c r="G68" i="5" s="1"/>
  <c r="A97" i="5" l="1"/>
  <c r="J97" i="5" s="1"/>
  <c r="F97" i="5"/>
  <c r="E97" i="5"/>
  <c r="D97" i="5"/>
  <c r="G97" i="5"/>
  <c r="C97" i="5"/>
  <c r="B97" i="5"/>
  <c r="G73" i="5" a="1"/>
  <c r="G73" i="5" s="1"/>
  <c r="A75" i="5" a="1"/>
  <c r="A75" i="5" s="1"/>
  <c r="B73" i="5" a="1"/>
  <c r="B73" i="5" s="1"/>
  <c r="C73" i="5" a="1"/>
  <c r="C73" i="5" s="1"/>
  <c r="B74" i="5" a="1"/>
  <c r="B74" i="5" s="1"/>
  <c r="E75" i="5" a="1"/>
  <c r="E75" i="5" s="1"/>
  <c r="D73" i="5" a="1"/>
  <c r="D73" i="5" s="1"/>
  <c r="D75" i="5" a="1"/>
  <c r="D75" i="5" s="1"/>
  <c r="A74" i="5" a="1"/>
  <c r="A74" i="5" s="1"/>
  <c r="C75" i="5" a="1"/>
  <c r="C75" i="5" s="1"/>
  <c r="G75" i="5" a="1"/>
  <c r="G75" i="5" s="1"/>
  <c r="C74" i="5" a="1"/>
  <c r="C74" i="5" s="1"/>
  <c r="E73" i="5" a="1"/>
  <c r="E73" i="5" s="1"/>
  <c r="A73" i="5" a="1"/>
  <c r="A73" i="5" s="1"/>
  <c r="F75" i="5" a="1"/>
  <c r="F75" i="5" s="1"/>
  <c r="D74" i="5" a="1"/>
  <c r="D74" i="5" s="1"/>
  <c r="G74" i="5" a="1"/>
  <c r="G74" i="5" s="1"/>
  <c r="F74" i="5" a="1"/>
  <c r="F74" i="5" s="1"/>
  <c r="B75" i="5" a="1"/>
  <c r="B75" i="5" s="1"/>
  <c r="E74" i="5" a="1"/>
  <c r="E74" i="5" s="1"/>
  <c r="F73" i="5" a="1"/>
  <c r="F73" i="5" s="1"/>
  <c r="A98" i="5" l="1" a="1"/>
  <c r="A98" i="5" s="1"/>
  <c r="E100" i="5" a="1"/>
  <c r="E100" i="5" s="1"/>
  <c r="D99" i="5" a="1"/>
  <c r="D99" i="5" s="1"/>
  <c r="B100" i="5" a="1"/>
  <c r="B100" i="5" s="1"/>
  <c r="A99" i="5" a="1"/>
  <c r="A99" i="5" s="1"/>
  <c r="F98" i="5" a="1"/>
  <c r="F98" i="5" s="1"/>
  <c r="A100" i="5" a="1"/>
  <c r="A100" i="5" s="1"/>
  <c r="F100" i="5" a="1"/>
  <c r="F100" i="5" s="1"/>
  <c r="E99" i="5" a="1"/>
  <c r="E99" i="5" s="1"/>
  <c r="E98" i="5" a="1"/>
  <c r="E98" i="5" s="1"/>
  <c r="B98" i="5" a="1"/>
  <c r="B98" i="5" s="1"/>
  <c r="G100" i="5" a="1"/>
  <c r="G100" i="5" s="1"/>
  <c r="F99" i="5" a="1"/>
  <c r="F99" i="5" s="1"/>
  <c r="D100" i="5" a="1"/>
  <c r="D100" i="5" s="1"/>
  <c r="C99" i="5" a="1"/>
  <c r="C99" i="5" s="1"/>
  <c r="C98" i="5" a="1"/>
  <c r="C98" i="5" s="1"/>
  <c r="C100" i="5" a="1"/>
  <c r="C100" i="5" s="1"/>
  <c r="B99" i="5" a="1"/>
  <c r="B99" i="5" s="1"/>
  <c r="G99" i="5" a="1"/>
  <c r="G99" i="5" s="1"/>
  <c r="G98" i="5" a="1"/>
  <c r="G98" i="5" s="1"/>
  <c r="D98" i="5" a="1"/>
  <c r="D98" i="5" s="1"/>
  <c r="G79" i="5" a="1"/>
  <c r="G79" i="5" s="1"/>
  <c r="C80" i="5" a="1"/>
  <c r="C80" i="5" s="1"/>
  <c r="D78" i="5" a="1"/>
  <c r="D78" i="5" s="1"/>
  <c r="D79" i="5" a="1"/>
  <c r="D79" i="5" s="1"/>
  <c r="C78" i="5" a="1"/>
  <c r="C78" i="5" s="1"/>
  <c r="G80" i="5" a="1"/>
  <c r="G80" i="5" s="1"/>
  <c r="E78" i="5" a="1"/>
  <c r="E78" i="5" s="1"/>
  <c r="B78" i="5" a="1"/>
  <c r="B78" i="5" s="1"/>
  <c r="F80" i="5" a="1"/>
  <c r="F80" i="5" s="1"/>
  <c r="C79" i="5" a="1"/>
  <c r="C79" i="5" s="1"/>
  <c r="G78" i="5" a="1"/>
  <c r="G78" i="5" s="1"/>
  <c r="B79" i="5" a="1"/>
  <c r="B79" i="5" s="1"/>
  <c r="A80" i="5" a="1"/>
  <c r="A80" i="5" s="1"/>
  <c r="A79" i="5" a="1"/>
  <c r="A79" i="5" s="1"/>
  <c r="E79" i="5" a="1"/>
  <c r="E79" i="5" s="1"/>
  <c r="A78" i="5" a="1"/>
  <c r="A78" i="5" s="1"/>
  <c r="B80" i="5" a="1"/>
  <c r="B80" i="5" s="1"/>
  <c r="E80" i="5" a="1"/>
  <c r="E80" i="5" s="1"/>
  <c r="F79" i="5" a="1"/>
  <c r="F79" i="5" s="1"/>
  <c r="D80" i="5" a="1"/>
  <c r="D80" i="5" s="1"/>
  <c r="F78" i="5" a="1"/>
  <c r="F78" i="5" s="1"/>
  <c r="G84" i="5" l="1" a="1"/>
  <c r="G84" i="5" s="1"/>
  <c r="A83" i="5" a="1"/>
  <c r="A83" i="5" s="1"/>
  <c r="F83" i="5" a="1"/>
  <c r="F83" i="5" s="1"/>
  <c r="C83" i="5" a="1"/>
  <c r="C83" i="5" s="1"/>
  <c r="E84" i="5" a="1"/>
  <c r="E84" i="5" s="1"/>
  <c r="G83" i="5" a="1"/>
  <c r="G83" i="5" s="1"/>
  <c r="A84" i="5" a="1"/>
  <c r="A84" i="5" s="1"/>
  <c r="A85" i="5" a="1"/>
  <c r="A85" i="5" s="1"/>
  <c r="B84" i="5" a="1"/>
  <c r="B84" i="5" s="1"/>
  <c r="E85" i="5" a="1"/>
  <c r="E85" i="5" s="1"/>
  <c r="D84" i="5" a="1"/>
  <c r="D84" i="5" s="1"/>
  <c r="D83" i="5" a="1"/>
  <c r="D83" i="5" s="1"/>
  <c r="F85" i="5" a="1"/>
  <c r="F85" i="5" s="1"/>
  <c r="B83" i="5" a="1"/>
  <c r="B83" i="5" s="1"/>
  <c r="F84" i="5" a="1"/>
  <c r="F84" i="5" s="1"/>
  <c r="G85" i="5" a="1"/>
  <c r="G85" i="5" s="1"/>
  <c r="B85" i="5" a="1"/>
  <c r="B85" i="5" s="1"/>
  <c r="C85" i="5" a="1"/>
  <c r="C85" i="5" s="1"/>
  <c r="E83" i="5" a="1"/>
  <c r="E83" i="5" s="1"/>
  <c r="D85" i="5" a="1"/>
  <c r="D85" i="5" s="1"/>
  <c r="C84" i="5" a="1"/>
  <c r="C84" i="5" s="1"/>
  <c r="E90" i="5" l="1" a="1"/>
  <c r="E90" i="5" s="1"/>
  <c r="A88" i="5" a="1"/>
  <c r="A88" i="5" s="1"/>
  <c r="F88" i="5" a="1"/>
  <c r="F88" i="5" s="1"/>
  <c r="B88" i="5" a="1"/>
  <c r="B88" i="5" s="1"/>
  <c r="F89" i="5" a="1"/>
  <c r="F89" i="5" s="1"/>
  <c r="G90" i="5" a="1"/>
  <c r="G90" i="5" s="1"/>
  <c r="B89" i="5" a="1"/>
  <c r="B89" i="5" s="1"/>
  <c r="D90" i="5" a="1"/>
  <c r="D90" i="5" s="1"/>
  <c r="C88" i="5" a="1"/>
  <c r="C88" i="5" s="1"/>
  <c r="E89" i="5" a="1"/>
  <c r="E89" i="5" s="1"/>
  <c r="G88" i="5" a="1"/>
  <c r="G88" i="5" s="1"/>
  <c r="D88" i="5" a="1"/>
  <c r="D88" i="5" s="1"/>
  <c r="C90" i="5" a="1"/>
  <c r="C90" i="5" s="1"/>
  <c r="G89" i="5" a="1"/>
  <c r="G89" i="5" s="1"/>
  <c r="E88" i="5" a="1"/>
  <c r="E88" i="5" s="1"/>
  <c r="A90" i="5" a="1"/>
  <c r="A90" i="5" s="1"/>
  <c r="C89" i="5" a="1"/>
  <c r="C89" i="5" s="1"/>
  <c r="D89" i="5" a="1"/>
  <c r="D89" i="5" s="1"/>
  <c r="A89" i="5" a="1"/>
  <c r="A89" i="5" s="1"/>
  <c r="B90" i="5" a="1"/>
  <c r="B90" i="5" s="1"/>
  <c r="F90" i="5" a="1"/>
  <c r="F90" i="5" s="1"/>
  <c r="G94" i="5" l="1" a="1"/>
  <c r="G94" i="5" s="1"/>
  <c r="A94" i="5" a="1"/>
  <c r="A94" i="5" s="1"/>
  <c r="D95" i="5" a="1"/>
  <c r="D95" i="5" s="1"/>
  <c r="F93" i="5" a="1"/>
  <c r="F93" i="5" s="1"/>
  <c r="B93" i="5" a="1"/>
  <c r="B93" i="5" s="1"/>
  <c r="E94" i="5" a="1"/>
  <c r="E94" i="5" s="1"/>
  <c r="A93" i="5" a="1"/>
  <c r="A93" i="5" s="1"/>
  <c r="E95" i="5" a="1"/>
  <c r="E95" i="5" s="1"/>
  <c r="A95" i="5" a="1"/>
  <c r="A95" i="5" s="1"/>
  <c r="C93" i="5" a="1"/>
  <c r="C93" i="5" s="1"/>
  <c r="G93" i="5" a="1"/>
  <c r="G93" i="5" s="1"/>
  <c r="C94" i="5" a="1"/>
  <c r="C94" i="5" s="1"/>
  <c r="D93" i="5" a="1"/>
  <c r="D93" i="5" s="1"/>
  <c r="B94" i="5" a="1"/>
  <c r="B94" i="5" s="1"/>
  <c r="E93" i="5" a="1"/>
  <c r="E93" i="5" s="1"/>
  <c r="F94" i="5" a="1"/>
  <c r="F94" i="5" s="1"/>
  <c r="G95" i="5" a="1"/>
  <c r="G95" i="5" s="1"/>
  <c r="F95" i="5" a="1"/>
  <c r="F95" i="5" s="1"/>
  <c r="D94" i="5" a="1"/>
  <c r="D94" i="5" s="1"/>
  <c r="C95" i="5" a="1"/>
  <c r="C95" i="5" s="1"/>
  <c r="B95" i="5" a="1"/>
  <c r="B95" i="5" s="1"/>
  <c r="A5" i="5" l="1" a="1"/>
  <c r="A5" i="5" s="1"/>
  <c r="M16" i="8" a="1"/>
  <c r="M16" i="8" s="1"/>
  <c r="M48" i="8" s="1"/>
  <c r="R16" i="8" a="1"/>
  <c r="R16" i="8" s="1"/>
  <c r="R48" i="8" s="1"/>
  <c r="D16" i="8" a="1"/>
  <c r="D16" i="8" s="1"/>
  <c r="D48" i="8" s="1"/>
  <c r="E16" i="8" a="1"/>
  <c r="E16" i="8" s="1"/>
  <c r="E48" i="8" s="1"/>
  <c r="J16" i="8" a="1"/>
  <c r="J16" i="8" s="1"/>
  <c r="J48" i="8" s="1"/>
  <c r="B16" i="8" a="1"/>
  <c r="B16" i="8" s="1"/>
  <c r="B48" i="8" s="1"/>
  <c r="G16" i="8" a="1"/>
  <c r="G16" i="8" s="1"/>
  <c r="G48" i="8" s="1"/>
  <c r="O16" i="8" a="1"/>
  <c r="O16" i="8" s="1"/>
  <c r="O48" i="8" s="1"/>
  <c r="H16" i="8" a="1"/>
  <c r="H16" i="8" s="1"/>
  <c r="H48" i="8" s="1"/>
  <c r="C16" i="8" a="1"/>
  <c r="C16" i="8" s="1"/>
  <c r="C48" i="8" s="1"/>
  <c r="I16" i="8" a="1"/>
  <c r="I16" i="8" s="1"/>
  <c r="I48" i="8" s="1"/>
  <c r="Q16" i="8" a="1"/>
  <c r="Q16" i="8" s="1"/>
  <c r="Q48" i="8" s="1"/>
  <c r="F16" i="8" a="1"/>
  <c r="F16" i="8" s="1"/>
  <c r="F48" i="8" s="1"/>
  <c r="K16" i="8" a="1"/>
  <c r="K16" i="8" s="1"/>
  <c r="K48" i="8" s="1"/>
  <c r="P16" i="8" a="1"/>
  <c r="P16" i="8" s="1"/>
  <c r="P48" i="8" s="1"/>
  <c r="N16" i="8" a="1"/>
  <c r="N16" i="8" s="1"/>
  <c r="N48" i="8" s="1"/>
  <c r="L16" i="8" a="1"/>
  <c r="L16" i="8" s="1"/>
  <c r="L48" i="8" s="1"/>
  <c r="O15" i="8" a="1"/>
  <c r="O15" i="8" s="1"/>
  <c r="O47" i="8" s="1"/>
  <c r="M15" i="8" a="1"/>
  <c r="M15" i="8" s="1"/>
  <c r="M47" i="8" s="1"/>
  <c r="J15" i="8" a="1"/>
  <c r="J15" i="8" s="1"/>
  <c r="J47" i="8" s="1"/>
  <c r="B15" i="8" a="1"/>
  <c r="B15" i="8" s="1"/>
  <c r="B47" i="8" s="1"/>
  <c r="C15" i="8" a="1"/>
  <c r="C15" i="8" s="1"/>
  <c r="C47" i="8" s="1"/>
  <c r="L15" i="8" a="1"/>
  <c r="L15" i="8" s="1"/>
  <c r="L47" i="8" s="1"/>
  <c r="H15" i="8" a="1"/>
  <c r="H15" i="8" s="1"/>
  <c r="H47" i="8" s="1"/>
  <c r="N15" i="8" a="1"/>
  <c r="N15" i="8" s="1"/>
  <c r="N47" i="8" s="1"/>
  <c r="D15" i="8" a="1"/>
  <c r="D15" i="8" s="1"/>
  <c r="D47" i="8" s="1"/>
  <c r="K15" i="8" a="1"/>
  <c r="K15" i="8" s="1"/>
  <c r="K47" i="8" s="1"/>
  <c r="E15" i="8" a="1"/>
  <c r="E15" i="8" s="1"/>
  <c r="E47" i="8" s="1"/>
  <c r="F15" i="8" a="1"/>
  <c r="F15" i="8" s="1"/>
  <c r="F47" i="8" s="1"/>
  <c r="G15" i="8" a="1"/>
  <c r="G15" i="8" s="1"/>
  <c r="G47" i="8" s="1"/>
  <c r="I15" i="8" a="1"/>
  <c r="I15" i="8" s="1"/>
  <c r="I47" i="8" s="1"/>
  <c r="Q15" i="8" a="1"/>
  <c r="Q15" i="8" s="1"/>
  <c r="Q47" i="8" s="1"/>
  <c r="P15" i="8" a="1"/>
  <c r="P15" i="8" s="1"/>
  <c r="P47" i="8" s="1"/>
  <c r="R15" i="8" a="1"/>
  <c r="R15" i="8" s="1"/>
  <c r="R47" i="8" s="1"/>
  <c r="O13" i="8" a="1"/>
  <c r="O13" i="8" s="1"/>
  <c r="O45" i="8" s="1"/>
  <c r="E14" i="8" a="1"/>
  <c r="E14" i="8" s="1"/>
  <c r="E46" i="8" s="1"/>
  <c r="F14" i="8" a="1"/>
  <c r="F14" i="8" s="1"/>
  <c r="F46" i="8" s="1"/>
  <c r="C14" i="8" a="1"/>
  <c r="C14" i="8" s="1"/>
  <c r="C46" i="8" s="1"/>
  <c r="R14" i="8" a="1"/>
  <c r="R14" i="8" s="1"/>
  <c r="R46" i="8" s="1"/>
  <c r="I14" i="8" a="1"/>
  <c r="I14" i="8" s="1"/>
  <c r="I46" i="8" s="1"/>
  <c r="H14" i="8" a="1"/>
  <c r="H14" i="8" s="1"/>
  <c r="H46" i="8" s="1"/>
  <c r="Q14" i="8" a="1"/>
  <c r="Q14" i="8" s="1"/>
  <c r="Q46" i="8" s="1"/>
  <c r="L14" i="8" a="1"/>
  <c r="L14" i="8" s="1"/>
  <c r="L46" i="8" s="1"/>
  <c r="J14" i="8" a="1"/>
  <c r="J14" i="8" s="1"/>
  <c r="J46" i="8" s="1"/>
  <c r="P14" i="8" a="1"/>
  <c r="P14" i="8" s="1"/>
  <c r="P46" i="8" s="1"/>
  <c r="K14" i="8" a="1"/>
  <c r="K14" i="8" s="1"/>
  <c r="K46" i="8" s="1"/>
  <c r="G14" i="8" a="1"/>
  <c r="G14" i="8" s="1"/>
  <c r="G46" i="8" s="1"/>
  <c r="R13" i="8" a="1"/>
  <c r="R13" i="8" s="1"/>
  <c r="R45" i="8" s="1"/>
  <c r="B14" i="8" a="1"/>
  <c r="B14" i="8" s="1"/>
  <c r="B46" i="8" s="1"/>
  <c r="M14" i="8" a="1"/>
  <c r="M14" i="8" s="1"/>
  <c r="M46" i="8" s="1"/>
  <c r="O14" i="8" a="1"/>
  <c r="O14" i="8" s="1"/>
  <c r="O46" i="8" s="1"/>
  <c r="D14" i="8" a="1"/>
  <c r="D14" i="8" s="1"/>
  <c r="D46" i="8" s="1"/>
  <c r="N14" i="8" a="1"/>
  <c r="N14" i="8" s="1"/>
  <c r="N46" i="8" s="1"/>
  <c r="G13" i="8" a="1"/>
  <c r="G13" i="8" s="1"/>
  <c r="G45" i="8" s="1"/>
  <c r="B13" i="8" a="1"/>
  <c r="B13" i="8" s="1"/>
  <c r="B45" i="8" s="1"/>
  <c r="C13" i="8" a="1"/>
  <c r="C13" i="8" s="1"/>
  <c r="C45" i="8" s="1"/>
  <c r="I13" i="8" a="1"/>
  <c r="I13" i="8" s="1"/>
  <c r="I45" i="8" s="1"/>
  <c r="F13" i="8" a="1"/>
  <c r="F13" i="8" s="1"/>
  <c r="F45" i="8" s="1"/>
  <c r="L13" i="8" a="1"/>
  <c r="L13" i="8" s="1"/>
  <c r="L45" i="8" s="1"/>
  <c r="Q13" i="8" a="1"/>
  <c r="Q13" i="8" s="1"/>
  <c r="Q45" i="8" s="1"/>
  <c r="J13" i="8" a="1"/>
  <c r="J13" i="8" s="1"/>
  <c r="J45" i="8" s="1"/>
  <c r="E13" i="8" a="1"/>
  <c r="E13" i="8" s="1"/>
  <c r="E45" i="8" s="1"/>
  <c r="D13" i="8" a="1"/>
  <c r="D13" i="8" s="1"/>
  <c r="D45" i="8" s="1"/>
  <c r="P13" i="8" a="1"/>
  <c r="P13" i="8" s="1"/>
  <c r="P45" i="8" s="1"/>
  <c r="H13" i="8" a="1"/>
  <c r="H13" i="8" s="1"/>
  <c r="H45" i="8" s="1"/>
  <c r="M13" i="8" a="1"/>
  <c r="M13" i="8" s="1"/>
  <c r="M45" i="8" s="1"/>
  <c r="K13" i="8" a="1"/>
  <c r="K13" i="8" s="1"/>
  <c r="K45" i="8" s="1"/>
  <c r="N13" i="8" a="1"/>
  <c r="N13" i="8" s="1"/>
  <c r="N45" i="8" s="1"/>
  <c r="N12" i="8" a="1"/>
  <c r="N12" i="8" s="1"/>
  <c r="N44" i="8" s="1"/>
  <c r="R12" i="8" a="1"/>
  <c r="R12" i="8" s="1"/>
  <c r="R44" i="8" s="1"/>
  <c r="P12" i="8" a="1"/>
  <c r="P12" i="8" s="1"/>
  <c r="P44" i="8" s="1"/>
  <c r="K12" i="8" a="1"/>
  <c r="K12" i="8" s="1"/>
  <c r="K44" i="8" s="1"/>
  <c r="B12" i="8" a="1"/>
  <c r="B12" i="8" s="1"/>
  <c r="B44" i="8" s="1"/>
  <c r="E12" i="8" a="1"/>
  <c r="E12" i="8" s="1"/>
  <c r="E44" i="8" s="1"/>
  <c r="F12" i="8" a="1"/>
  <c r="F12" i="8" s="1"/>
  <c r="F44" i="8" s="1"/>
  <c r="J12" i="8" a="1"/>
  <c r="J12" i="8" s="1"/>
  <c r="J44" i="8" s="1"/>
  <c r="E11" i="8" a="1"/>
  <c r="E11" i="8" s="1"/>
  <c r="E43" i="8" s="1"/>
  <c r="G12" i="8" a="1"/>
  <c r="G12" i="8" s="1"/>
  <c r="G44" i="8" s="1"/>
  <c r="L12" i="8" a="1"/>
  <c r="L12" i="8" s="1"/>
  <c r="L44" i="8" s="1"/>
  <c r="D12" i="8" a="1"/>
  <c r="D12" i="8" s="1"/>
  <c r="D44" i="8" s="1"/>
  <c r="H12" i="8" a="1"/>
  <c r="H12" i="8" s="1"/>
  <c r="H44" i="8" s="1"/>
  <c r="Q12" i="8" a="1"/>
  <c r="Q12" i="8" s="1"/>
  <c r="Q44" i="8" s="1"/>
  <c r="I12" i="8" a="1"/>
  <c r="I12" i="8" s="1"/>
  <c r="I44" i="8" s="1"/>
  <c r="O12" i="8" a="1"/>
  <c r="O12" i="8" s="1"/>
  <c r="O44" i="8" s="1"/>
  <c r="M12" i="8" a="1"/>
  <c r="M12" i="8" s="1"/>
  <c r="M44" i="8" s="1"/>
  <c r="C12" i="8" a="1"/>
  <c r="C12" i="8" s="1"/>
  <c r="C44" i="8" s="1"/>
  <c r="G11" i="8" a="1"/>
  <c r="G11" i="8" s="1"/>
  <c r="G43" i="8" s="1"/>
  <c r="K11" i="8" a="1"/>
  <c r="K11" i="8" s="1"/>
  <c r="K43" i="8" s="1"/>
  <c r="B11" i="8" a="1"/>
  <c r="B11" i="8" s="1"/>
  <c r="B43" i="8" s="1"/>
  <c r="C11" i="8" a="1"/>
  <c r="C11" i="8" s="1"/>
  <c r="C43" i="8" s="1"/>
  <c r="N11" i="8" a="1"/>
  <c r="N11" i="8" s="1"/>
  <c r="N43" i="8" s="1"/>
  <c r="I11" i="8" a="1"/>
  <c r="I11" i="8" s="1"/>
  <c r="I43" i="8" s="1"/>
  <c r="H11" i="8" a="1"/>
  <c r="H11" i="8" s="1"/>
  <c r="H43" i="8" s="1"/>
  <c r="L11" i="8" a="1"/>
  <c r="L11" i="8" s="1"/>
  <c r="L43" i="8" s="1"/>
  <c r="R11" i="8" a="1"/>
  <c r="R11" i="8" s="1"/>
  <c r="R43" i="8" s="1"/>
  <c r="O11" i="8" a="1"/>
  <c r="O11" i="8" s="1"/>
  <c r="O43" i="8" s="1"/>
  <c r="J11" i="8" a="1"/>
  <c r="J11" i="8" s="1"/>
  <c r="J43" i="8" s="1"/>
  <c r="Q11" i="8" a="1"/>
  <c r="Q11" i="8" s="1"/>
  <c r="Q43" i="8" s="1"/>
  <c r="M11" i="8" a="1"/>
  <c r="M11" i="8" s="1"/>
  <c r="M43" i="8" s="1"/>
  <c r="F11" i="8" a="1"/>
  <c r="F11" i="8" s="1"/>
  <c r="F43" i="8" s="1"/>
  <c r="P11" i="8" a="1"/>
  <c r="P11" i="8" s="1"/>
  <c r="P43" i="8" s="1"/>
  <c r="D11" i="8" a="1"/>
  <c r="D11" i="8" s="1"/>
  <c r="D43" i="8" s="1"/>
  <c r="C10" i="8" a="1"/>
  <c r="C10" i="8" s="1"/>
  <c r="C42" i="8" s="1"/>
  <c r="G10" i="8" a="1"/>
  <c r="G10" i="8" s="1"/>
  <c r="G42" i="8" s="1"/>
  <c r="F10" i="8" a="1"/>
  <c r="F10" i="8" s="1"/>
  <c r="F42" i="8" s="1"/>
  <c r="I10" i="8" a="1"/>
  <c r="I10" i="8" s="1"/>
  <c r="I42" i="8" s="1"/>
  <c r="D10" i="8" a="1"/>
  <c r="D10" i="8" s="1"/>
  <c r="D42" i="8" s="1"/>
  <c r="B10" i="8" a="1"/>
  <c r="B10" i="8" s="1"/>
  <c r="B42" i="8" s="1"/>
  <c r="O10" i="8" a="1"/>
  <c r="O10" i="8" s="1"/>
  <c r="O42" i="8" s="1"/>
  <c r="N10" i="8" a="1"/>
  <c r="N10" i="8" s="1"/>
  <c r="N42" i="8" s="1"/>
  <c r="Q10" i="8" a="1"/>
  <c r="Q10" i="8" s="1"/>
  <c r="Q42" i="8" s="1"/>
  <c r="J10" i="8" a="1"/>
  <c r="J10" i="8" s="1"/>
  <c r="J42" i="8" s="1"/>
  <c r="M10" i="8" a="1"/>
  <c r="M10" i="8" s="1"/>
  <c r="M42" i="8" s="1"/>
  <c r="K10" i="8" a="1"/>
  <c r="K10" i="8" s="1"/>
  <c r="K42" i="8" s="1"/>
  <c r="R10" i="8" a="1"/>
  <c r="R10" i="8" s="1"/>
  <c r="R42" i="8" s="1"/>
  <c r="E10" i="8" a="1"/>
  <c r="E10" i="8" s="1"/>
  <c r="E42" i="8" s="1"/>
  <c r="H10" i="8" a="1"/>
  <c r="H10" i="8" s="1"/>
  <c r="H42" i="8" s="1"/>
  <c r="L10" i="8" a="1"/>
  <c r="L10" i="8" s="1"/>
  <c r="L42" i="8" s="1"/>
  <c r="P10" i="8" a="1"/>
  <c r="P10" i="8" s="1"/>
  <c r="P42" i="8" s="1"/>
  <c r="H9" i="8" a="1"/>
  <c r="H9" i="8" s="1"/>
  <c r="H41" i="8" s="1"/>
  <c r="K9" i="8" a="1"/>
  <c r="K9" i="8" s="1"/>
  <c r="K41" i="8" s="1"/>
  <c r="R9" i="8" a="1"/>
  <c r="R9" i="8" s="1"/>
  <c r="R41" i="8" s="1"/>
  <c r="B9" i="8" a="1"/>
  <c r="B9" i="8" s="1"/>
  <c r="B41" i="8" s="1"/>
  <c r="D8" i="8" a="1"/>
  <c r="D8" i="8" s="1"/>
  <c r="D40" i="8" s="1"/>
  <c r="H8" i="8" a="1"/>
  <c r="H8" i="8" s="1"/>
  <c r="H40" i="8" s="1"/>
  <c r="C9" i="8" a="1"/>
  <c r="C9" i="8" s="1"/>
  <c r="C41" i="8" s="1"/>
  <c r="D9" i="8" a="1"/>
  <c r="D9" i="8" s="1"/>
  <c r="D41" i="8" s="1"/>
  <c r="F9" i="8" a="1"/>
  <c r="F9" i="8" s="1"/>
  <c r="F41" i="8" s="1"/>
  <c r="Q9" i="8" a="1"/>
  <c r="Q9" i="8" s="1"/>
  <c r="Q41" i="8" s="1"/>
  <c r="I9" i="8" a="1"/>
  <c r="I9" i="8" s="1"/>
  <c r="I41" i="8" s="1"/>
  <c r="J9" i="8" a="1"/>
  <c r="J9" i="8" s="1"/>
  <c r="J41" i="8" s="1"/>
  <c r="O9" i="8" a="1"/>
  <c r="O9" i="8" s="1"/>
  <c r="O41" i="8" s="1"/>
  <c r="E9" i="8" a="1"/>
  <c r="E9" i="8" s="1"/>
  <c r="E41" i="8" s="1"/>
  <c r="G9" i="8" a="1"/>
  <c r="G9" i="8" s="1"/>
  <c r="G41" i="8" s="1"/>
  <c r="N9" i="8" a="1"/>
  <c r="N9" i="8" s="1"/>
  <c r="N41" i="8" s="1"/>
  <c r="M9" i="8" a="1"/>
  <c r="M9" i="8" s="1"/>
  <c r="M41" i="8" s="1"/>
  <c r="L9" i="8" a="1"/>
  <c r="L9" i="8" s="1"/>
  <c r="L41" i="8" s="1"/>
  <c r="P9" i="8" a="1"/>
  <c r="P9" i="8" s="1"/>
  <c r="P41" i="8" s="1"/>
  <c r="J7" i="8" a="1"/>
  <c r="J7" i="8" s="1"/>
  <c r="J39" i="8" s="1"/>
  <c r="B8" i="8" a="1"/>
  <c r="B8" i="8" s="1"/>
  <c r="B40" i="8" s="1"/>
  <c r="M8" i="8" a="1"/>
  <c r="M8" i="8" s="1"/>
  <c r="M40" i="8" s="1"/>
  <c r="C8" i="8" a="1"/>
  <c r="C8" i="8" s="1"/>
  <c r="C40" i="8" s="1"/>
  <c r="O8" i="8" a="1"/>
  <c r="O8" i="8" s="1"/>
  <c r="O40" i="8" s="1"/>
  <c r="Q8" i="8" a="1"/>
  <c r="Q8" i="8" s="1"/>
  <c r="Q40" i="8" s="1"/>
  <c r="R8" i="8" a="1"/>
  <c r="R8" i="8" s="1"/>
  <c r="R40" i="8" s="1"/>
  <c r="J8" i="8" a="1"/>
  <c r="J8" i="8" s="1"/>
  <c r="J40" i="8" s="1"/>
  <c r="I8" i="8" a="1"/>
  <c r="I8" i="8" s="1"/>
  <c r="I40" i="8" s="1"/>
  <c r="F8" i="8" a="1"/>
  <c r="F8" i="8" s="1"/>
  <c r="F40" i="8" s="1"/>
  <c r="K8" i="8" a="1"/>
  <c r="K8" i="8" s="1"/>
  <c r="K40" i="8" s="1"/>
  <c r="G8" i="8" a="1"/>
  <c r="G8" i="8" s="1"/>
  <c r="G40" i="8" s="1"/>
  <c r="P8" i="8" a="1"/>
  <c r="P8" i="8" s="1"/>
  <c r="P40" i="8" s="1"/>
  <c r="E8" i="8" a="1"/>
  <c r="E8" i="8" s="1"/>
  <c r="E40" i="8" s="1"/>
  <c r="L8" i="8" a="1"/>
  <c r="L8" i="8" s="1"/>
  <c r="L40" i="8" s="1"/>
  <c r="N8" i="8" a="1"/>
  <c r="N8" i="8" s="1"/>
  <c r="N40" i="8" s="1"/>
  <c r="R7" i="8" a="1"/>
  <c r="R7" i="8" s="1"/>
  <c r="R39" i="8" s="1"/>
  <c r="K7" i="8" a="1"/>
  <c r="K7" i="8" s="1"/>
  <c r="K39" i="8" s="1"/>
  <c r="C7" i="8" a="1"/>
  <c r="C7" i="8" s="1"/>
  <c r="C39" i="8" s="1"/>
  <c r="D7" i="8" a="1"/>
  <c r="D7" i="8" s="1"/>
  <c r="D39" i="8" s="1"/>
  <c r="F7" i="8" a="1"/>
  <c r="F7" i="8" s="1"/>
  <c r="F39" i="8" s="1"/>
  <c r="G7" i="8" a="1"/>
  <c r="G7" i="8" s="1"/>
  <c r="G39" i="8" s="1"/>
  <c r="N7" i="8" a="1"/>
  <c r="N7" i="8" s="1"/>
  <c r="N39" i="8" s="1"/>
  <c r="M7" i="8" a="1"/>
  <c r="M7" i="8" s="1"/>
  <c r="M39" i="8" s="1"/>
  <c r="D6" i="8" a="1"/>
  <c r="D6" i="8" s="1"/>
  <c r="D38" i="8" s="1"/>
  <c r="E7" i="8" a="1"/>
  <c r="E7" i="8" s="1"/>
  <c r="E39" i="8" s="1"/>
  <c r="Q7" i="8" a="1"/>
  <c r="Q7" i="8" s="1"/>
  <c r="Q39" i="8" s="1"/>
  <c r="P7" i="8" a="1"/>
  <c r="P7" i="8" s="1"/>
  <c r="P39" i="8" s="1"/>
  <c r="B7" i="8" a="1"/>
  <c r="B7" i="8" s="1"/>
  <c r="B39" i="8" s="1"/>
  <c r="H7" i="8" a="1"/>
  <c r="H7" i="8" s="1"/>
  <c r="H39" i="8" s="1"/>
  <c r="O7" i="8" a="1"/>
  <c r="O7" i="8" s="1"/>
  <c r="O39" i="8" s="1"/>
  <c r="L7" i="8" a="1"/>
  <c r="L7" i="8" s="1"/>
  <c r="L39" i="8" s="1"/>
  <c r="I7" i="8" a="1"/>
  <c r="I7" i="8" s="1"/>
  <c r="I39" i="8" s="1"/>
  <c r="F6" i="8" a="1"/>
  <c r="F6" i="8" s="1"/>
  <c r="F38" i="8" s="1"/>
  <c r="M6" i="8" a="1"/>
  <c r="M6" i="8" s="1"/>
  <c r="M38" i="8" s="1"/>
  <c r="N5" i="8" a="1"/>
  <c r="N5" i="8" s="1"/>
  <c r="N37" i="8" s="1"/>
  <c r="B6" i="8" a="1"/>
  <c r="B6" i="8" s="1"/>
  <c r="B38" i="8" s="1"/>
  <c r="K6" i="8" a="1"/>
  <c r="K6" i="8" s="1"/>
  <c r="K38" i="8" s="1"/>
  <c r="R6" i="8" a="1"/>
  <c r="R6" i="8" s="1"/>
  <c r="R38" i="8" s="1"/>
  <c r="N6" i="8" a="1"/>
  <c r="N6" i="8" s="1"/>
  <c r="N38" i="8" s="1"/>
  <c r="P6" i="8" a="1"/>
  <c r="P6" i="8" s="1"/>
  <c r="P38" i="8" s="1"/>
  <c r="G6" i="8" a="1"/>
  <c r="G6" i="8" s="1"/>
  <c r="G38" i="8" s="1"/>
  <c r="C6" i="8" a="1"/>
  <c r="C6" i="8" s="1"/>
  <c r="C38" i="8" s="1"/>
  <c r="O6" i="8" a="1"/>
  <c r="O6" i="8" s="1"/>
  <c r="O38" i="8" s="1"/>
  <c r="J6" i="8" a="1"/>
  <c r="J6" i="8" s="1"/>
  <c r="J38" i="8" s="1"/>
  <c r="L6" i="8" a="1"/>
  <c r="L6" i="8" s="1"/>
  <c r="L38" i="8" s="1"/>
  <c r="E6" i="8" a="1"/>
  <c r="E6" i="8" s="1"/>
  <c r="E38" i="8" s="1"/>
  <c r="Q6" i="8" a="1"/>
  <c r="Q6" i="8" s="1"/>
  <c r="Q38" i="8" s="1"/>
  <c r="H6" i="8" a="1"/>
  <c r="H6" i="8" s="1"/>
  <c r="H38" i="8" s="1"/>
  <c r="I6" i="8" a="1"/>
  <c r="I6" i="8" s="1"/>
  <c r="I38" i="8" s="1"/>
  <c r="R5" i="8" a="1"/>
  <c r="R5" i="8" s="1"/>
  <c r="R37" i="8" s="1"/>
  <c r="L5" i="8" a="1"/>
  <c r="L5" i="8" s="1"/>
  <c r="L37" i="8" s="1"/>
  <c r="K5" i="8" a="1"/>
  <c r="K5" i="8" s="1"/>
  <c r="K37" i="8" s="1"/>
  <c r="B5" i="8" a="1"/>
  <c r="B5" i="8" s="1"/>
  <c r="B37" i="8" s="1"/>
  <c r="F5" i="8" a="1"/>
  <c r="F5" i="8" s="1"/>
  <c r="F37" i="8" s="1"/>
  <c r="D5" i="8" a="1"/>
  <c r="D5" i="8" s="1"/>
  <c r="D37" i="8" s="1"/>
  <c r="G5" i="8" a="1"/>
  <c r="G5" i="8" s="1"/>
  <c r="G37" i="8" s="1"/>
  <c r="C5" i="8" a="1"/>
  <c r="C5" i="8" s="1"/>
  <c r="C37" i="8" s="1"/>
  <c r="H5" i="8" a="1"/>
  <c r="H5" i="8" s="1"/>
  <c r="H37" i="8" s="1"/>
  <c r="I5" i="8" a="1"/>
  <c r="I5" i="8" s="1"/>
  <c r="I37" i="8" s="1"/>
  <c r="J5" i="8" a="1"/>
  <c r="J5" i="8" s="1"/>
  <c r="J37" i="8" s="1"/>
  <c r="M5" i="8" a="1"/>
  <c r="M5" i="8" s="1"/>
  <c r="M37" i="8" s="1"/>
  <c r="M4" i="8" a="1"/>
  <c r="M4" i="8" s="1"/>
  <c r="M36" i="8" s="1"/>
  <c r="Q5" i="8" a="1"/>
  <c r="Q5" i="8" s="1"/>
  <c r="Q37" i="8" s="1"/>
  <c r="E5" i="8" a="1"/>
  <c r="E5" i="8" s="1"/>
  <c r="E37" i="8" s="1"/>
  <c r="P5" i="8" a="1"/>
  <c r="P5" i="8" s="1"/>
  <c r="P37" i="8" s="1"/>
  <c r="O5" i="8" a="1"/>
  <c r="O5" i="8" s="1"/>
  <c r="O37" i="8" s="1"/>
  <c r="B4" i="8" a="1"/>
  <c r="B4" i="8" s="1"/>
  <c r="B36" i="8" s="1"/>
  <c r="N4" i="8" a="1"/>
  <c r="N4" i="8" s="1"/>
  <c r="N36" i="8" s="1"/>
  <c r="K4" i="8" a="1"/>
  <c r="K4" i="8" s="1"/>
  <c r="K36" i="8" s="1"/>
  <c r="L4" i="8" a="1"/>
  <c r="L4" i="8" s="1"/>
  <c r="L36" i="8" s="1"/>
  <c r="Q4" i="8" a="1"/>
  <c r="Q4" i="8" s="1"/>
  <c r="Q36" i="8" s="1"/>
  <c r="P4" i="8" a="1"/>
  <c r="P4" i="8" s="1"/>
  <c r="P36" i="8" s="1"/>
  <c r="J4" i="8" a="1"/>
  <c r="J4" i="8" s="1"/>
  <c r="J36" i="8" s="1"/>
  <c r="O4" i="8" a="1"/>
  <c r="O4" i="8" s="1"/>
  <c r="O36" i="8" s="1"/>
  <c r="D4" i="8" a="1"/>
  <c r="D4" i="8" s="1"/>
  <c r="D36" i="8" s="1"/>
  <c r="F4" i="8" a="1"/>
  <c r="F4" i="8" s="1"/>
  <c r="F36" i="8" s="1"/>
  <c r="E4" i="8" a="1"/>
  <c r="E4" i="8" s="1"/>
  <c r="E36" i="8" s="1"/>
  <c r="G4" i="8" a="1"/>
  <c r="G4" i="8" s="1"/>
  <c r="G36" i="8" s="1"/>
  <c r="C4" i="8" a="1"/>
  <c r="C4" i="8" s="1"/>
  <c r="C36" i="8" s="1"/>
  <c r="R4" i="8" a="1"/>
  <c r="R4" i="8" s="1"/>
  <c r="R36" i="8" s="1"/>
  <c r="H4" i="8" a="1"/>
  <c r="H4" i="8" s="1"/>
  <c r="H36" i="8" s="1"/>
  <c r="I4" i="8" a="1"/>
  <c r="I4" i="8" s="1"/>
  <c r="I36" i="8" s="1"/>
  <c r="F3" i="8" a="1"/>
  <c r="F3" i="8" s="1"/>
  <c r="F35" i="8" s="1"/>
  <c r="B3" i="8" a="1"/>
  <c r="B3" i="8" s="1"/>
  <c r="B35" i="8" s="1"/>
  <c r="E3" i="8" a="1"/>
  <c r="E3" i="8" s="1"/>
  <c r="E35" i="8" s="1"/>
  <c r="H3" i="8" a="1"/>
  <c r="H3" i="8" s="1"/>
  <c r="H35" i="8" s="1"/>
  <c r="L3" i="8" a="1"/>
  <c r="L3" i="8" s="1"/>
  <c r="L35" i="8" s="1"/>
  <c r="P3" i="8" a="1"/>
  <c r="P3" i="8" s="1"/>
  <c r="P35" i="8" s="1"/>
  <c r="D3" i="8" a="1"/>
  <c r="D3" i="8" s="1"/>
  <c r="D35" i="8" s="1"/>
  <c r="J3" i="8" a="1"/>
  <c r="J3" i="8" s="1"/>
  <c r="J35" i="8" s="1"/>
  <c r="N3" i="8" a="1"/>
  <c r="N3" i="8" s="1"/>
  <c r="N35" i="8" s="1"/>
  <c r="R3" i="8" a="1"/>
  <c r="R3" i="8" s="1"/>
  <c r="R35" i="8" s="1"/>
  <c r="C3" i="8" a="1"/>
  <c r="C3" i="8" s="1"/>
  <c r="C35" i="8" s="1"/>
  <c r="G3" i="8" a="1"/>
  <c r="G3" i="8" s="1"/>
  <c r="G35" i="8" s="1"/>
  <c r="M3" i="8" a="1"/>
  <c r="M3" i="8" s="1"/>
  <c r="M35" i="8" s="1"/>
  <c r="Q3" i="8" a="1"/>
  <c r="Q3" i="8" s="1"/>
  <c r="Q35" i="8" s="1"/>
  <c r="I3" i="8" a="1"/>
  <c r="I3" i="8" s="1"/>
  <c r="I35" i="8" s="1"/>
  <c r="K3" i="8" a="1"/>
  <c r="K3" i="8" s="1"/>
  <c r="K35" i="8" s="1"/>
  <c r="O3" i="8" a="1"/>
  <c r="O3" i="8" s="1"/>
  <c r="O35" i="8" s="1"/>
  <c r="S12" i="8" l="1"/>
  <c r="S14" i="8"/>
  <c r="S8" i="8"/>
  <c r="S11" i="8"/>
  <c r="S6" i="8"/>
  <c r="S7" i="8"/>
  <c r="S9" i="8"/>
  <c r="S15" i="8"/>
  <c r="S5" i="8"/>
  <c r="S10" i="8"/>
  <c r="S13" i="8"/>
  <c r="S16" i="8"/>
  <c r="S4" i="8"/>
  <c r="S3" i="8"/>
  <c r="R17" i="8"/>
  <c r="Q17" i="8"/>
  <c r="M16" i="5" a="1"/>
  <c r="M16" i="5" s="1"/>
  <c r="N16" i="5" s="1" a="1"/>
  <c r="N16" i="5" s="1"/>
  <c r="M17" i="5" a="1"/>
  <c r="M17" i="5" s="1"/>
  <c r="N17" i="5" s="1" a="1"/>
  <c r="N17" i="5" s="1"/>
  <c r="G17" i="8"/>
  <c r="C17" i="8"/>
  <c r="H17" i="8"/>
  <c r="D17" i="8"/>
  <c r="J17" i="8"/>
  <c r="P17" i="8"/>
  <c r="K17" i="8"/>
  <c r="O17" i="8"/>
  <c r="M17" i="8"/>
  <c r="E17" i="8"/>
  <c r="N17" i="8"/>
  <c r="I17" i="8"/>
  <c r="L17" i="8"/>
  <c r="F17" i="8"/>
  <c r="M22" i="5" l="1" a="1"/>
  <c r="M22" i="5" s="1"/>
  <c r="N22" i="5" s="1" a="1"/>
  <c r="N22" i="5" s="1"/>
  <c r="M13" i="5" a="1"/>
  <c r="M13" i="5" s="1"/>
  <c r="N13" i="5" s="1" a="1"/>
  <c r="N13" i="5" s="1"/>
  <c r="M21" i="5" a="1"/>
  <c r="M21" i="5" s="1"/>
  <c r="N21" i="5" s="1" a="1"/>
  <c r="N21" i="5" s="1"/>
  <c r="M23" i="5" a="1"/>
  <c r="M23" i="5" s="1"/>
  <c r="N23" i="5" s="1" a="1"/>
  <c r="N23" i="5" s="1"/>
  <c r="M11" i="5" a="1"/>
  <c r="M11" i="5" s="1"/>
  <c r="N11" i="5" s="1" a="1"/>
  <c r="N11" i="5" s="1"/>
  <c r="M10" i="5" a="1"/>
  <c r="M10" i="5" s="1"/>
  <c r="N10" i="5" s="1" a="1"/>
  <c r="N10" i="5" s="1"/>
  <c r="M14" i="5" a="1"/>
  <c r="M14" i="5" s="1"/>
  <c r="N14" i="5" s="1" a="1"/>
  <c r="N14" i="5" s="1"/>
  <c r="M12" i="5" a="1"/>
  <c r="M12" i="5" s="1"/>
  <c r="N12" i="5" s="1" a="1"/>
  <c r="N12" i="5" s="1"/>
  <c r="M15" i="5" a="1"/>
  <c r="M15" i="5" s="1"/>
  <c r="N15" i="5" s="1" a="1"/>
  <c r="N15" i="5" s="1"/>
  <c r="M19" i="5" a="1"/>
  <c r="M19" i="5" s="1"/>
  <c r="N19" i="5" s="1" a="1"/>
  <c r="N19" i="5" s="1"/>
  <c r="M18" i="5" a="1"/>
  <c r="M18" i="5" s="1"/>
  <c r="N18" i="5" s="1" a="1"/>
  <c r="N18" i="5" s="1"/>
  <c r="M20" i="5" a="1"/>
  <c r="M20" i="5" s="1"/>
  <c r="N20" i="5" s="1" a="1"/>
  <c r="N20" i="5" s="1"/>
  <c r="G49" i="8"/>
  <c r="B17" i="8"/>
  <c r="S17" i="8" s="1"/>
  <c r="O49" i="8" l="1"/>
  <c r="L49" i="8"/>
  <c r="C49" i="8"/>
  <c r="I49" i="8"/>
  <c r="J49" i="8"/>
  <c r="R49" i="8"/>
  <c r="M49" i="8"/>
  <c r="Q49" i="8"/>
  <c r="N49" i="8"/>
  <c r="F49" i="8"/>
  <c r="D49" i="8"/>
  <c r="E49" i="8"/>
  <c r="P49" i="8"/>
  <c r="H49" i="8"/>
  <c r="K49" i="8"/>
  <c r="B49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Scripts.xml><?xml version="1.0" encoding="utf-8"?>
<pythonScripts xmlns="http://schemas.microsoft.com/office/spreadsheetml/2022/pythonscript">
  <pythonScript>
    <code>import pandas as pd
import datetime as dt
import re
#import ics
class Amion:
    shifttimes = {
        "Week 8a-4p": (dt.time(8, 0), dt.time(16, 0), 0),
        "Week 3p-11p": (dt.time(15, 0), dt.time(23, 0), 1),
        "Week night": (dt.time(23, 0), dt.time(9, 0), 2),
        "Friday 3pm-11pm": (dt.time(15, 0), dt.time(23, 0), 1),
        "Friday night 11p-9a": (dt.time(23, 0), dt.time(9, 0), 2),
        "Saturday 9am-4pm": (dt.time(9, 0), dt.time(16, 0), 0),
        "Saturday 3-11pm": (dt.time(15, 0), dt.time(23, 0), 1),
        "Saturday 11pm-9am": (dt.time(23, 0), dt.time(9, 0), 2),
        "Sunday 9am-4pm": (dt.time(9, 0), dt.time(16, 0), 0),
        "Sunday 3-11pm": (dt.time(15, 0), dt.time(23, 0), 1),
        "Sunday 11p-8a": (dt.time(23, 0), dt.time(8, 0), 2),
        "Holiday 9am-4pm": (dt.time(9, 0), dt.time(16, 0), 0),
        "Holiday 3pm-11pm": (dt.time(15, 0), dt.time(23, 0), 1),
        "Holiday night": (dt.time(23, 0), dt.time(9, 0), 2),
        "Hospitalist": (dt.time(0, 0), dt.time(0, 0), 3),
        "Surgery": (dt.time(0, 0), dt.time(0, 0), 3),
        "Anaesthesiology": (dt.time(0, 0), dt.time(0, 0), 3) 
    }
    def __init__(self, sourceFile, SourceAsDF = False):
        if SourceAsDF:
            self.rawdf = sourceFile
            self.sourceFileName = None
        else:
            self.sourceFileName = sourceFile
            self.rawdf = pd.read_csv(self.sourceFileName,\
                    sep='\t',\
                        skip_blank_lines=True,\
                            names = ["shiftType", "Sun", "Mon", "Tue", "Wed", "Thu", "Fri", "Sat"]\
                            )
        self.df = None
        return
    def toDataFrame(self):
        df = pd.DataFrame(columns=["Start", "End", "Date", "ShiftNumber", "WeekDay", "Holiday", "ShiftType", "Doctor"])
        activeMonth = None
        activeYear = None
        dayDict = None
        for i, row in self.rawdf.iterrows():
            #IF HEADER ROW
            if pd.isnull(row["shiftType"]):
                #Range Header
                m = re.search(r'Call Schedule, (\d{1,2})/(\d{1,2}) to (\d{1,2})/(\d{1,2}), (\d{4})', str(row["Tue"]))
                if m:
                    startMonth, startDay, endMonth, endDay, year = m.groups()
                    startDate = dt.date(int(year), int(startMonth), int(startDay))
                    endDate = dt.date(int(year), int(endMonth), int(endDay))
                    activeMonth = startDate.month
                    activeYear = startDate.year
                else:
                    #Weekly Header
                    dayDict = dict()
                    for key in row[1:].keys():
                        #print(key, row[key])
                        m = re.search(r'^(\d{1,2}) (January|February|March|April|May|June|July|August|September|October|November|December)', str(row[key]))
                        m2 = re.search(r'^(\d{1,2}) (?!January|February|March|April|May|June|July|August|September|October|November|December)(.*)$', str(row[key]))
                        if m:
                            day, activeMonth = m.groups()
                            activeMonth = dt.datetime.strptime(activeMonth, "%%B").month
                            day = int(day)
                            holiday = None
                        elif m2:
                            day, holiday = m2.groups()   
                            day = int(day)  
                        else:
                            day = row[key]
                            holiday = None
                        if not pd.isnull(day):
                            day = int(day)
                            dayDict.update({key: (dt.date(activeYear, activeMonth, day), holiday)})
            else:
                assert dayDict is not None
                shiftType = row["shiftType"]
                StartTime, EndTime, ShiftNumber = Amion.shifttimes[shiftType]
                for key in row[1:].keys():
                    if not pd.isnull(row[key]):
                        date, holiday = dayDict[key]
                        weekday = date.strftime("%%A")
                        doctor = row[key]
                        if EndTime &gt;= StartTime:
                            StartDateTime = dt.datetime.combine(date, StartTime)
                            EndDateTime = dt.datetime.combine(date, EndTime)
                        else:
                            StartDateTime = dt.datetime.combine(date, StartTime)
                            EndDateTime = dt.datetime.combine(date + dt.timedelta(days=1), EndTime)
                        df.loc[len(df)] = {
                                            "Start": StartDateTime,
                                            "End": EndDateTime,
                                            "Date": date,
                                            "ShiftNumber": ShiftNumber,
                                            "WeekDay": weekday,
                                            "Holiday": holiday,
                                            "ShiftType": shiftType,
                                            "Doctor": doctor
                                        }
            self.df = df
        return self.df
''' 
    def toICS(self, outFile):
        if self.df is None:
            self.toDataFrame()
        C = ics.Calendar()
        for i, row in self.df.iterrows():
            E = ics.Event()
            E.name = str(row["Doctor"]) + ' ' +  (row["ShiftType"]) + ' ' + str(row["WeekDay"]) + ' ' + str(row["Holiday"])
            E.begin = row["Start"]
            E.end = row["End"]
            C.events.add(E)
        with open(outFile, 'w') as my_file:
            my_file.writelines(C.serialize_iter())
        return
'''   
def main():
    a = Amion(sourceFile=xl(%P2%), SourceAsDF=True).toDataFrame()
    return a
if __name__ == '__main__':
    main()</code>
  </pythonScript>
</pythonScripts>
</file>

<file path=xl/sharedStrings.xml><?xml version="1.0" encoding="utf-8"?>
<sst xmlns="http://schemas.openxmlformats.org/spreadsheetml/2006/main" count="67" uniqueCount="38">
  <si>
    <t>Year</t>
  </si>
  <si>
    <t>Week Start</t>
  </si>
  <si>
    <t>Month Start</t>
  </si>
  <si>
    <t>Week 8am-4pm</t>
  </si>
  <si>
    <t>Week 3pm-11pm</t>
  </si>
  <si>
    <t>Week night</t>
  </si>
  <si>
    <t>Friday 3pm-11pm</t>
  </si>
  <si>
    <t>Friday night 11pm-9am</t>
  </si>
  <si>
    <t>Saturday 9am-4pm</t>
  </si>
  <si>
    <t>Saturday 3-11pm</t>
  </si>
  <si>
    <t>Saturday 11pm-9am</t>
  </si>
  <si>
    <t>Sunday 9am-4pm</t>
  </si>
  <si>
    <t>Sunday 3-11pm</t>
  </si>
  <si>
    <t>Sunday 11pm-8am</t>
  </si>
  <si>
    <t>Holiday 9am-4pm</t>
  </si>
  <si>
    <t>Holiday 3pm-11pm</t>
  </si>
  <si>
    <t>Holiday night</t>
  </si>
  <si>
    <t>Doctors</t>
  </si>
  <si>
    <t>Holidays</t>
  </si>
  <si>
    <t>New</t>
  </si>
  <si>
    <t>Old</t>
  </si>
  <si>
    <t>Change</t>
  </si>
  <si>
    <t>Total shifts</t>
  </si>
  <si>
    <t>Net shifts changed</t>
  </si>
  <si>
    <t>Shifts left to fill</t>
  </si>
  <si>
    <t>Individual Stats</t>
  </si>
  <si>
    <t>Change from original</t>
  </si>
  <si>
    <t>Select Name</t>
  </si>
  <si>
    <t>Shift Type</t>
  </si>
  <si>
    <t>(Scrolll to top to view.)</t>
  </si>
  <si>
    <t>Sun</t>
  </si>
  <si>
    <t>Mon</t>
  </si>
  <si>
    <t>Tue</t>
  </si>
  <si>
    <t>Wed</t>
  </si>
  <si>
    <t>Thu</t>
  </si>
  <si>
    <t>Fri</t>
  </si>
  <si>
    <t>Sat</t>
  </si>
  <si>
    <t>shiftType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</si>
</sst>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"/>
    <numFmt numFmtId="165" formatCode="mmm\ d"/>
    <numFmt numFmtId="166" formatCode="dddd"/>
    <numFmt numFmtId="167" formatCode="[$-F800]dddd\,\ mmmm\ dd\,\ yyyy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A010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rgb="FFFF0000"/>
      <name val="Calibri"/>
      <family val="2"/>
      <scheme val="minor"/>
    </font>
    <font>
      <b/>
      <sz val="18"/>
      <color rgb="FFFF0000"/>
      <name val="Arial Black"/>
      <family val="2"/>
    </font>
    <font>
      <b/>
      <sz val="12"/>
      <color rgb="FF000000"/>
      <name val="Arial Black"/>
      <family val="2"/>
    </font>
    <font>
      <sz val="11"/>
      <color theme="0"/>
      <name val="Calibri"/>
      <family val="2"/>
      <scheme val="minor"/>
    </font>
    <font>
      <sz val="11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9" tint="-0.24994659260841701"/>
      </left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 style="thick">
        <color theme="9" tint="-0.24994659260841701"/>
      </right>
      <top/>
      <bottom style="thick">
        <color theme="9" tint="-0.24994659260841701"/>
      </bottom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16" fontId="0" fillId="0" borderId="0" xfId="0" applyNumberFormat="1"/>
    <xf numFmtId="0" fontId="2" fillId="0" borderId="0" xfId="1" applyFont="1"/>
    <xf numFmtId="164" fontId="0" fillId="0" borderId="0" xfId="0" applyNumberFormat="1"/>
    <xf numFmtId="0" fontId="4" fillId="0" borderId="0" xfId="0" applyFont="1"/>
    <xf numFmtId="165" fontId="0" fillId="0" borderId="0" xfId="0" applyNumberFormat="1"/>
    <xf numFmtId="0" fontId="5" fillId="0" borderId="0" xfId="0" applyFont="1"/>
    <xf numFmtId="0" fontId="3" fillId="0" borderId="0" xfId="0" applyFont="1"/>
    <xf numFmtId="0" fontId="0" fillId="0" borderId="1" xfId="0" applyBorder="1"/>
    <xf numFmtId="0" fontId="7" fillId="2" borderId="0" xfId="0" applyFont="1" applyFill="1"/>
    <xf numFmtId="0" fontId="3" fillId="0" borderId="0" xfId="0" applyFont="1" applyAlignment="1">
      <alignment horizontal="right"/>
    </xf>
    <xf numFmtId="14" fontId="0" fillId="0" borderId="0" xfId="0" applyNumberFormat="1"/>
    <xf numFmtId="166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12" fillId="0" borderId="0" xfId="0" applyFont="1"/>
    <xf numFmtId="165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167" fontId="0" fillId="0" borderId="0" xfId="0" applyNumberFormat="1"/>
    <xf numFmtId="15" fontId="0" fillId="0" borderId="0" xfId="0" applyNumberFormat="1"/>
    <xf numFmtId="165" fontId="0" fillId="0" borderId="0" xfId="0" applyNumberFormat="1"/>
    <xf numFmtId="0" fontId="13" fillId="4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 wrapText="1"/>
    </xf>
    <xf numFmtId="0" fontId="14" fillId="0" borderId="0" xfId="0" applyFont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1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4" tint="-0.24994659260841701"/>
      </font>
      <fill>
        <patternFill>
          <bgColor rgb="FF97E4FF"/>
        </patternFill>
      </fill>
    </dxf>
    <dxf>
      <font>
        <color rgb="FFC00000"/>
      </font>
      <fill>
        <patternFill>
          <bgColor rgb="FFFFBDBD"/>
        </patternFill>
      </fill>
    </dxf>
    <dxf>
      <fill>
        <patternFill>
          <bgColor rgb="FF92D050"/>
        </patternFill>
      </fill>
    </dxf>
    <dxf>
      <fill>
        <patternFill>
          <bgColor rgb="FF00FFFF"/>
        </patternFill>
      </fill>
    </dxf>
    <dxf>
      <font>
        <color rgb="FFC00000"/>
      </font>
    </dxf>
    <dxf>
      <font>
        <color rgb="FF632B8D"/>
      </font>
    </dxf>
    <dxf>
      <font>
        <color rgb="FFC00000"/>
      </font>
    </dxf>
    <dxf>
      <font>
        <color rgb="FF632B8D"/>
      </font>
    </dxf>
    <dxf>
      <font>
        <color rgb="FFC00000"/>
      </font>
    </dxf>
    <dxf>
      <font>
        <color rgb="FF632B8D"/>
      </font>
    </dxf>
    <dxf>
      <font>
        <b/>
        <i val="0"/>
        <color rgb="FFC00000"/>
      </font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6600"/>
        </patternFill>
      </fill>
    </dxf>
    <dxf>
      <font>
        <color theme="0" tint="-4.9989318521683403E-2"/>
      </font>
      <fill>
        <patternFill>
          <bgColor theme="5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33"/>
      <color rgb="FF632B8D"/>
      <color rgb="FFC00000"/>
      <color rgb="FF00FFFF"/>
      <color rgb="FF006600"/>
      <color rgb="FF009900"/>
      <color rgb="FFFFBDBD"/>
      <color rgb="FF97E4FF"/>
      <color rgb="FF66FF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03/relationships/PythonScripts" Target="pythonScript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511629</xdr:colOff>
      <xdr:row>4</xdr:row>
      <xdr:rowOff>81642</xdr:rowOff>
    </xdr:from>
    <xdr:to>
      <xdr:col>2</xdr:col>
      <xdr:colOff>593271</xdr:colOff>
      <xdr:row>4</xdr:row>
      <xdr:rowOff>446314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7EA9C67-D171-413C-B70A-AB90706FE645}"/>
            </a:ext>
          </a:extLst>
        </xdr:cNvPr>
        <xdr:cNvSpPr/>
      </xdr:nvSpPr>
      <xdr:spPr>
        <a:xfrm>
          <a:off x="511629" y="821871"/>
          <a:ext cx="1877785" cy="364672"/>
        </a:xfrm>
        <a:prstGeom prst="rect">
          <a:avLst/>
        </a:prstGeom>
        <a:solidFill>
          <a:schemeClr val="accent2">
            <a:lumMod val="40000"/>
            <a:lumOff val="60000"/>
            <a:alpha val="18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14</v>
  </rv>
</rvData>
</file>

<file path=xl/richData/rdrichvaluestructure.xml><?xml version="1.0" encoding="utf-8"?>
<rvStructures xmlns="http://schemas.microsoft.com/office/spreadsheetml/2017/richdata" count="1">
  <s t="_error">
    <k n="error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4"/>
  <sheetViews>
    <sheetView zoomScaleNormal="100" workbookViewId="0">
      <pane ySplit="6" topLeftCell="A15" activePane="bottomLeft" state="frozen"/>
      <selection pane="bottomLeft" activeCell="C20" sqref="C20"/>
    </sheetView>
  </sheetViews>
  <sheetFormatPr defaultColWidth="9.28515625" defaultRowHeight="15" x14ac:dyDescent="0.25"/>
  <cols>
    <col min="1" max="7" width="12.7109375" customWidth="1"/>
    <col min="9" max="10" width="9.28515625" hidden="1" customWidth="1"/>
    <col min="13" max="13" width="17.28515625" customWidth="1"/>
    <col min="14" max="14" width="12.7109375" customWidth="1"/>
  </cols>
  <sheetData>
    <row r="1" spans="1:17" x14ac:dyDescent="0.25">
      <c r="A1" s="4" t="s">
        <v>0</v>
      </c>
      <c r="B1" s="4">
        <v>2021</v>
      </c>
    </row>
    <row r="2" spans="1:17" x14ac:dyDescent="0.25">
      <c r="A2" s="4" t="s">
        <v>1</v>
      </c>
      <c r="B2" s="4">
        <v>1</v>
      </c>
    </row>
    <row r="3" spans="1:17" x14ac:dyDescent="0.25">
      <c r="A3" s="4" t="s">
        <v>2</v>
      </c>
      <c r="B3" s="4">
        <v>6</v>
      </c>
    </row>
    <row r="5" spans="1:17" ht="42.95" customHeight="1" x14ac:dyDescent="0.4">
      <c r="A5" s="17" cm="1">
        <f t="array" aca="1" ref="A5" ca="1">SUMPRODUCT(IF(ISBLANK(Swap_copy),1,0),IF(Swap_copy&lt;&gt;checker,1,0))</f>
        <v>0</v>
      </c>
      <c r="B5" s="16" t="s">
        <v>24</v>
      </c>
      <c r="C5" s="15"/>
      <c r="D5" s="14"/>
      <c r="E5" s="6"/>
      <c r="F5" s="6"/>
      <c r="G5" s="6"/>
      <c r="M5" s="18" t="s">
        <v>25</v>
      </c>
      <c r="N5" s="18"/>
    </row>
    <row r="6" spans="1:17" ht="21" customHeight="1" x14ac:dyDescent="0.25">
      <c r="A6" s="12">
        <f>WEEKDAY(A7)</f>
        <v>1</v>
      </c>
      <c r="B6" s="12">
        <f t="shared" ref="B6:G6" si="0">WEEKDAY(B7)</f>
        <v>2</v>
      </c>
      <c r="C6" s="12">
        <f t="shared" si="0"/>
        <v>3</v>
      </c>
      <c r="D6" s="12">
        <f t="shared" si="0"/>
        <v>4</v>
      </c>
      <c r="E6" s="12">
        <f t="shared" si="0"/>
        <v>5</v>
      </c>
      <c r="F6" s="12">
        <f t="shared" si="0"/>
        <v>6</v>
      </c>
      <c r="G6" s="12">
        <f t="shared" si="0"/>
        <v>7</v>
      </c>
      <c r="J6" s="6"/>
      <c r="L6" s="28" t="s">
        <v>29</v>
      </c>
      <c r="M6" s="28"/>
      <c r="N6" s="28"/>
    </row>
    <row r="7" spans="1:17" ht="15.75" thickBot="1" x14ac:dyDescent="0.3">
      <c r="A7" s="19">
        <f t="array" ref="A7:G7">DaysandWeeks+DATE(CalendarYear,MonthStart,1)-WEEKDAY(DATE(CalendarYear,MonthStart,1),1)+I7</f>
        <v>44346</v>
      </c>
      <c r="B7" s="19">
        <v>44347</v>
      </c>
      <c r="C7" s="19">
        <v>44348</v>
      </c>
      <c r="D7" s="19">
        <v>44349</v>
      </c>
      <c r="E7" s="19">
        <v>44350</v>
      </c>
      <c r="F7" s="19">
        <v>44351</v>
      </c>
      <c r="G7" s="19">
        <v>44352</v>
      </c>
      <c r="I7">
        <v>1</v>
      </c>
      <c r="J7" t="e">
        <f ca="1">MATCH(A7,OFFSET(#REF!,1,COLUMN(A7),286,1))</f>
        <v>#REF!</v>
      </c>
      <c r="L7" s="24" t="s">
        <v>27</v>
      </c>
      <c r="M7" s="24"/>
      <c r="N7" s="5"/>
      <c r="O7" s="5"/>
      <c r="P7" s="5"/>
      <c r="Q7" s="5"/>
    </row>
    <row r="8" spans="1:17" ht="15.75" thickTop="1" x14ac:dyDescent="0.25">
      <c r="A8" s="20" t="str">
        <f t="array" aca="1" ref="A8" ca="1">IFERROR(INDEX((OFFSET(#REF!,$J$7,WEEKDAY(A$6),14,1)),SMALL(IF(ISTEXT((OFFSET(#REF!,$J$7,WEEKDAY(A$6),14,1))),ROW(B$1:B$14),""),ROW($A1))),"")</f>
        <v/>
      </c>
      <c r="B8" s="20" t="str">
        <f t="array" aca="1" ref="B8" ca="1">IFERROR(INDEX((OFFSET(#REF!,$J$7,WEEKDAY(B$6),14,1)),SMALL(IF(ISTEXT((OFFSET(#REF!,$J$7,WEEKDAY(B$6),14,1))),ROW(C$1:C$14),""),ROW($A1))),"")</f>
        <v/>
      </c>
      <c r="C8" s="20" t="str">
        <f t="array" aca="1" ref="C8" ca="1">IFERROR(INDEX((OFFSET(#REF!,$J$7,WEEKDAY(C$6),14,1)),SMALL(IF(ISTEXT((OFFSET(#REF!,$J$7,WEEKDAY(C$6),14,1))),ROW(D$1:D$14),""),ROW($A1))),"")</f>
        <v/>
      </c>
      <c r="D8" s="20" t="str">
        <f t="array" aca="1" ref="D8" ca="1">IFERROR(INDEX((OFFSET(#REF!,$J$7,WEEKDAY(D$6),14,1)),SMALL(IF(ISTEXT((OFFSET(#REF!,$J$7,WEEKDAY(D$6),14,1))),ROW(E$1:E$14),""),ROW($A1))),"")</f>
        <v/>
      </c>
      <c r="E8" s="20" t="str">
        <f t="array" aca="1" ref="E8" ca="1">IFERROR(INDEX((OFFSET(#REF!,$J$7,WEEKDAY(E$6),14,1)),SMALL(IF(ISTEXT((OFFSET(#REF!,$J$7,WEEKDAY(E$6),14,1))),ROW(F$1:F$14),""),ROW($A1))),"")</f>
        <v/>
      </c>
      <c r="F8" s="20" t="str">
        <f t="array" aca="1" ref="F8" ca="1">IFERROR(INDEX((OFFSET(#REF!,$J$7,WEEKDAY(F$6),14,1)),SMALL(IF(ISTEXT((OFFSET(#REF!,$J$7,WEEKDAY(F$6),14,1))),ROW(G$1:G$14),""),ROW($A1))),"")</f>
        <v/>
      </c>
      <c r="G8" s="20" t="str">
        <f t="array" aca="1" ref="G8" ca="1">IFERROR(INDEX((OFFSET(#REF!,$J$7,WEEKDAY(G$6),14,1)),SMALL(IF(ISTEXT((OFFSET(#REF!,$J$7,WEEKDAY(G$6),14,1))),ROW(H$1:H$14),""),ROW($A1))),"")</f>
        <v/>
      </c>
      <c r="L8" s="25"/>
      <c r="M8" s="27" t="s">
        <v>28</v>
      </c>
      <c r="N8" s="27" t="s">
        <v>26</v>
      </c>
    </row>
    <row r="9" spans="1:17" ht="15.75" thickBot="1" x14ac:dyDescent="0.3">
      <c r="A9" s="20" t="str">
        <f t="array" aca="1" ref="A9" ca="1">IFERROR(INDEX((OFFSET(#REF!,$J$7,WEEKDAY(A$6),14,1)),SMALL(IF(ISTEXT((OFFSET(#REF!,$J$7,WEEKDAY(A$6),14,1))),ROW(B$1:B$14),""),ROW($A2))),"")</f>
        <v/>
      </c>
      <c r="B9" s="20" t="str">
        <f t="array" aca="1" ref="B9" ca="1">IFERROR(INDEX((OFFSET(#REF!,$J$7,WEEKDAY(B$6),14,1)),SMALL(IF(ISTEXT((OFFSET(#REF!,$J$7,WEEKDAY(B$6),14,1))),ROW(C$1:C$14),""),ROW($A2))),"")</f>
        <v/>
      </c>
      <c r="C9" s="20" t="str">
        <f t="array" aca="1" ref="C9" ca="1">IFERROR(INDEX((OFFSET(#REF!,$J$7,WEEKDAY(C$6),14,1)),SMALL(IF(ISTEXT((OFFSET(#REF!,$J$7,WEEKDAY(C$6),14,1))),ROW(D$1:D$14),""),ROW($A2))),"")</f>
        <v/>
      </c>
      <c r="D9" s="20" t="str">
        <f t="array" aca="1" ref="D9" ca="1">IFERROR(INDEX((OFFSET(#REF!,$J$7,WEEKDAY(D$6),14,1)),SMALL(IF(ISTEXT((OFFSET(#REF!,$J$7,WEEKDAY(D$6),14,1))),ROW(E$1:E$14),""),ROW($A2))),"")</f>
        <v/>
      </c>
      <c r="E9" s="20" t="str">
        <f t="array" aca="1" ref="E9" ca="1">IFERROR(INDEX((OFFSET(#REF!,$J$7,WEEKDAY(E$6),14,1)),SMALL(IF(ISTEXT((OFFSET(#REF!,$J$7,WEEKDAY(E$6),14,1))),ROW(F$1:F$14),""),ROW($A2))),"")</f>
        <v/>
      </c>
      <c r="F9" s="20" t="str">
        <f t="array" aca="1" ref="F9" ca="1">IFERROR(INDEX((OFFSET(#REF!,$J$7,WEEKDAY(F$6),14,1)),SMALL(IF(ISTEXT((OFFSET(#REF!,$J$7,WEEKDAY(F$6),14,1))),ROW(G$1:G$14),""),ROW($A2))),"")</f>
        <v/>
      </c>
      <c r="G9" s="20" t="str">
        <f t="array" aca="1" ref="G9" ca="1">IFERROR(INDEX((OFFSET(#REF!,$J$7,WEEKDAY(G$6),14,1)),SMALL(IF(ISTEXT((OFFSET(#REF!,$J$7,WEEKDAY(G$6),14,1))),ROW(H$1:H$14),""),ROW($A2))),"")</f>
        <v/>
      </c>
      <c r="L9" s="26"/>
      <c r="M9" s="27"/>
      <c r="N9" s="27"/>
    </row>
    <row r="10" spans="1:17" ht="15.75" thickTop="1" x14ac:dyDescent="0.25">
      <c r="A10" s="20" t="str">
        <f t="array" aca="1" ref="A10" ca="1">IFERROR(INDEX((OFFSET(#REF!,$J$7,WEEKDAY(A$6),14,1)),SMALL(IF(ISTEXT((OFFSET(#REF!,$J$7,WEEKDAY(A$6),14,1))),ROW(B$1:B$14),""),ROW($A3))),"")</f>
        <v/>
      </c>
      <c r="B10" s="20" t="str">
        <f t="array" aca="1" ref="B10" ca="1">IFERROR(INDEX((OFFSET(#REF!,$J$7,WEEKDAY(B$6),14,1)),SMALL(IF(ISTEXT((OFFSET(#REF!,$J$7,WEEKDAY(B$6),14,1))),ROW(C$1:C$14),""),ROW($A3))),"")</f>
        <v/>
      </c>
      <c r="C10" s="13" t="str">
        <f t="array" aca="1" ref="C10" ca="1">IFERROR(INDEX((OFFSET(#REF!,$J$7,WEEKDAY(C$6),14,1)),SMALL(IF(ISTEXT((OFFSET(#REF!,$J$7,WEEKDAY(C$6),14,1))),ROW(D$1:D$14),""),ROW($A3))),"")</f>
        <v/>
      </c>
      <c r="D10" s="13" t="str">
        <f t="array" aca="1" ref="D10" ca="1">IFERROR(INDEX((OFFSET(#REF!,$J$7,WEEKDAY(D$6),14,1)),SMALL(IF(ISTEXT((OFFSET(#REF!,$J$7,WEEKDAY(D$6),14,1))),ROW(E$1:E$14),""),ROW($A3))),"")</f>
        <v/>
      </c>
      <c r="E10" s="13" t="str">
        <f t="array" aca="1" ref="E10" ca="1">IFERROR(INDEX((OFFSET(#REF!,$J$7,WEEKDAY(E$6),14,1)),SMALL(IF(ISTEXT((OFFSET(#REF!,$J$7,WEEKDAY(E$6),14,1))),ROW(F$1:F$14),""),ROW($A3))),"")</f>
        <v/>
      </c>
      <c r="F10" s="20" t="str">
        <f t="array" aca="1" ref="F10" ca="1">IFERROR(INDEX((OFFSET(#REF!,$J$7,WEEKDAY(F$6),14,1)),SMALL(IF(ISTEXT((OFFSET(#REF!,$J$7,WEEKDAY(F$6),14,1))),ROW(G$1:G$14),""),ROW($A3))),"")</f>
        <v/>
      </c>
      <c r="G10" s="20" t="str">
        <f t="array" aca="1" ref="G10" ca="1">IFERROR(INDEX((OFFSET(#REF!,$J$7,WEEKDAY(G$6),14,1)),SMALL(IF(ISTEXT((OFFSET(#REF!,$J$7,WEEKDAY(G$6),14,1))),ROW(H$1:H$14),""),ROW($A3))),"")</f>
        <v/>
      </c>
      <c r="M10" t="str">
        <f t="array" aca="1" ref="M10" ca="1">IFERROR(INDEX(Stats!$A$35:$P$48,SMALL(IF(NOT(OFFSET(Stats!$A$34,1,(MATCH(Swap!$L$8,Stats!$B$1:$P$1,0)),14,1)=0),ROW($A$1:$A$14),""),ROW(A1)),1),"")</f>
        <v/>
      </c>
      <c r="N10" s="13" t="str">
        <f t="array" aca="1" ref="N10" ca="1">IFERROR(INDEX(Stats!$A$35:$P$48,MATCH(M10,Stats!$A$35:$A$48,0),MATCH($L$8,Stats!$A$1:$P$1,0)),"")</f>
        <v/>
      </c>
    </row>
    <row r="11" spans="1:17" x14ac:dyDescent="0.25">
      <c r="A11" s="13"/>
      <c r="B11" s="13"/>
      <c r="C11" s="13"/>
      <c r="D11" s="13"/>
      <c r="E11" s="13"/>
      <c r="F11" s="13"/>
      <c r="G11" s="13"/>
      <c r="M11" t="str">
        <f t="array" aca="1" ref="M11" ca="1">IFERROR(INDEX(Stats!$A$35:$P$48,SMALL(IF(NOT(OFFSET(Stats!$A$34,1,(MATCH(Swap!$L$8,Stats!$B$1:$P$1,0)),14,1)=0),ROW($A$1:$A$14),""),ROW(A2)),1),"")</f>
        <v/>
      </c>
      <c r="N11" s="13" t="str">
        <f t="array" aca="1" ref="N11" ca="1">IFERROR(INDEX(Stats!$A$35:$P$48,MATCH(M11,Stats!$A$35:$A$48,0),MATCH($L$8,Stats!$A$1:$P$1,0)),"")</f>
        <v/>
      </c>
    </row>
    <row r="12" spans="1:17" x14ac:dyDescent="0.25">
      <c r="A12" s="21">
        <f t="array" ref="A12:G12">DaysandWeeks+DATE(CalendarYear,MonthStart,1)-WEEKDAY(DATE(CalendarYear,MonthStart,1),1)+I12</f>
        <v>44353</v>
      </c>
      <c r="B12" s="21">
        <v>44354</v>
      </c>
      <c r="C12" s="21">
        <v>44355</v>
      </c>
      <c r="D12" s="21">
        <v>44356</v>
      </c>
      <c r="E12" s="21">
        <v>44357</v>
      </c>
      <c r="F12" s="21">
        <v>44358</v>
      </c>
      <c r="G12" s="21">
        <v>44359</v>
      </c>
      <c r="I12">
        <f>I7+7</f>
        <v>8</v>
      </c>
      <c r="J12" t="e">
        <f ca="1">MATCH(A12,OFFSET(#REF!,1,COLUMN(A12),286,1))</f>
        <v>#REF!</v>
      </c>
      <c r="L12" s="5"/>
      <c r="M12" t="str">
        <f t="array" aca="1" ref="M12" ca="1">IFERROR(INDEX(Stats!$A$35:$P$48,SMALL(IF(NOT(OFFSET(Stats!$A$34,1,(MATCH(Swap!$L$8,Stats!$B$1:$P$1,0)),14,1)=0),ROW($A$1:$A$14),""),ROW(A3)),1),"")</f>
        <v/>
      </c>
      <c r="N12" s="13" t="str">
        <f t="array" aca="1" ref="N12" ca="1">IFERROR(INDEX(Stats!$A$35:$P$48,MATCH(M12,Stats!$A$35:$A$48,0),MATCH($L$8,Stats!$A$1:$P$1,0)),"")</f>
        <v/>
      </c>
      <c r="O12" s="5"/>
      <c r="P12" s="5"/>
      <c r="Q12" s="5"/>
    </row>
    <row r="13" spans="1:17" x14ac:dyDescent="0.25">
      <c r="A13" s="20" t="str">
        <f t="array" aca="1" ref="A13" ca="1">IFERROR(INDEX((OFFSET(#REF!,$J$12,WEEKDAY(A$6),14,1)),SMALL(IF(ISTEXT((OFFSET(#REF!,$J$12,WEEKDAY(A$6),14,1))),ROW(B$1:B$14),""),ROW($A1))),"")</f>
        <v/>
      </c>
      <c r="B13" s="20" t="str">
        <f t="array" aca="1" ref="B13" ca="1">IFERROR(INDEX((OFFSET(#REF!,$J$12,WEEKDAY(B$6),14,1)),SMALL(IF(ISTEXT((OFFSET(#REF!,$J$12,WEEKDAY(B$6),14,1))),ROW(C$1:C$14),""),ROW($A1))),"")</f>
        <v/>
      </c>
      <c r="C13" s="20" t="str">
        <f t="array" aca="1" ref="C13" ca="1">IFERROR(INDEX((OFFSET(#REF!,$J$12,WEEKDAY(C$6),14,1)),SMALL(IF(ISTEXT((OFFSET(#REF!,$J$12,WEEKDAY(C$6),14,1))),ROW(D$1:D$14),""),ROW($A1))),"")</f>
        <v/>
      </c>
      <c r="D13" s="20" t="str">
        <f t="array" aca="1" ref="D13" ca="1">IFERROR(INDEX((OFFSET(#REF!,$J$12,WEEKDAY(D$6),14,1)),SMALL(IF(ISTEXT((OFFSET(#REF!,$J$12,WEEKDAY(D$6),14,1))),ROW(E$1:E$14),""),ROW($A1))),"")</f>
        <v/>
      </c>
      <c r="E13" s="20" t="str">
        <f t="array" aca="1" ref="E13" ca="1">IFERROR(INDEX((OFFSET(#REF!,$J$12,WEEKDAY(E$6),14,1)),SMALL(IF(ISTEXT((OFFSET(#REF!,$J$12,WEEKDAY(E$6),14,1))),ROW(F$1:F$14),""),ROW($A1))),"")</f>
        <v/>
      </c>
      <c r="F13" s="20" t="str">
        <f t="array" aca="1" ref="F13" ca="1">IFERROR(INDEX((OFFSET(#REF!,$J$12,WEEKDAY(F$6),14,1)),SMALL(IF(ISTEXT((OFFSET(#REF!,$J$12,WEEKDAY(F$6),14,1))),ROW(G$1:G$14),""),ROW($A1))),"")</f>
        <v/>
      </c>
      <c r="G13" s="20" t="str">
        <f t="array" aca="1" ref="G13" ca="1">IFERROR(INDEX((OFFSET(#REF!,$J$12,WEEKDAY(G$6),14,1)),SMALL(IF(ISTEXT((OFFSET(#REF!,$J$12,WEEKDAY(G$6),14,1))),ROW(H$1:H$14),""),ROW($A1))),"")</f>
        <v/>
      </c>
      <c r="M13" t="str">
        <f t="array" aca="1" ref="M13" ca="1">IFERROR(INDEX(Stats!$A$35:$P$48,SMALL(IF(NOT(OFFSET(Stats!$A$34,1,(MATCH(Swap!$L$8,Stats!$B$1:$P$1,0)),14,1)=0),ROW($A$1:$A$14),""),ROW(A4)),1),"")</f>
        <v/>
      </c>
      <c r="N13" s="13" t="str">
        <f t="array" aca="1" ref="N13" ca="1">IFERROR(INDEX(Stats!$A$35:$P$48,MATCH(M13,Stats!$A$35:$A$48,0),MATCH($L$8,Stats!$A$1:$P$1,0)),"")</f>
        <v/>
      </c>
    </row>
    <row r="14" spans="1:17" x14ac:dyDescent="0.25">
      <c r="A14" s="20" t="str">
        <f t="array" aca="1" ref="A14" ca="1">IFERROR(INDEX((OFFSET(#REF!,$J$12,WEEKDAY(A$6),14,1)),SMALL(IF(ISTEXT((OFFSET(#REF!,$J$12,WEEKDAY(A$6),14,1))),ROW(B$1:B$14),""),ROW($A2))),"")</f>
        <v/>
      </c>
      <c r="B14" s="20" t="str">
        <f t="array" aca="1" ref="B14" ca="1">IFERROR(INDEX((OFFSET(#REF!,$J$12,WEEKDAY(B$6),14,1)),SMALL(IF(ISTEXT((OFFSET(#REF!,$J$12,WEEKDAY(B$6),14,1))),ROW(C$1:C$14),""),ROW($A2))),"")</f>
        <v/>
      </c>
      <c r="C14" s="20" t="str">
        <f t="array" aca="1" ref="C14" ca="1">IFERROR(INDEX((OFFSET(#REF!,$J$12,WEEKDAY(C$6),14,1)),SMALL(IF(ISTEXT((OFFSET(#REF!,$J$12,WEEKDAY(C$6),14,1))),ROW(D$1:D$14),""),ROW($A2))),"")</f>
        <v/>
      </c>
      <c r="D14" s="20" t="str">
        <f t="array" aca="1" ref="D14" ca="1">IFERROR(INDEX((OFFSET(#REF!,$J$12,WEEKDAY(D$6),14,1)),SMALL(IF(ISTEXT((OFFSET(#REF!,$J$12,WEEKDAY(D$6),14,1))),ROW(E$1:E$14),""),ROW($A2))),"")</f>
        <v/>
      </c>
      <c r="E14" s="20" t="str">
        <f t="array" aca="1" ref="E14" ca="1">IFERROR(INDEX((OFFSET(#REF!,$J$12,WEEKDAY(E$6),14,1)),SMALL(IF(ISTEXT((OFFSET(#REF!,$J$12,WEEKDAY(E$6),14,1))),ROW(F$1:F$14),""),ROW($A2))),"")</f>
        <v/>
      </c>
      <c r="F14" s="20" t="str">
        <f t="array" aca="1" ref="F14" ca="1">IFERROR(INDEX((OFFSET(#REF!,$J$12,WEEKDAY(F$6),14,1)),SMALL(IF(ISTEXT((OFFSET(#REF!,$J$12,WEEKDAY(F$6),14,1))),ROW(G$1:G$14),""),ROW($A2))),"")</f>
        <v/>
      </c>
      <c r="G14" s="20" t="str">
        <f t="array" aca="1" ref="G14" ca="1">IFERROR(INDEX((OFFSET(#REF!,$J$12,WEEKDAY(G$6),14,1)),SMALL(IF(ISTEXT((OFFSET(#REF!,$J$12,WEEKDAY(G$6),14,1))),ROW(H$1:H$14),""),ROW($A2))),"")</f>
        <v/>
      </c>
      <c r="M14" t="str">
        <f t="array" aca="1" ref="M14" ca="1">IFERROR(INDEX(Stats!$A$35:$P$48,SMALL(IF(NOT(OFFSET(Stats!$A$34,1,(MATCH(Swap!$L$8,Stats!$B$1:$P$1,0)),14,1)=0),ROW($A$1:$A$14),""),ROW(A5)),1),"")</f>
        <v/>
      </c>
      <c r="N14" s="13" t="str">
        <f t="array" aca="1" ref="N14" ca="1">IFERROR(INDEX(Stats!$A$35:$P$48,MATCH(M14,Stats!$A$35:$A$48,0),MATCH($L$8,Stats!$A$1:$P$1,0)),"")</f>
        <v/>
      </c>
    </row>
    <row r="15" spans="1:17" x14ac:dyDescent="0.25">
      <c r="A15" s="20" t="str">
        <f t="array" aca="1" ref="A15" ca="1">IFERROR(INDEX((OFFSET(#REF!,$J$12,WEEKDAY(A$6),14,1)),SMALL(IF(ISTEXT((OFFSET(#REF!,$J$12,WEEKDAY(A$6),14,1))),ROW(B$1:B$14),""),ROW($A3))),"")</f>
        <v/>
      </c>
      <c r="B15" s="20" t="str">
        <f t="array" aca="1" ref="B15" ca="1">IFERROR(INDEX((OFFSET(#REF!,$J$12,WEEKDAY(B$6),14,1)),SMALL(IF(ISTEXT((OFFSET(#REF!,$J$12,WEEKDAY(B$6),14,1))),ROW(C$1:C$14),""),ROW($A3))),"")</f>
        <v/>
      </c>
      <c r="C15" s="13" t="str">
        <f t="array" aca="1" ref="C15" ca="1">IFERROR(INDEX((OFFSET(#REF!,$J$12,WEEKDAY(C$6),14,1)),SMALL(IF(ISTEXT((OFFSET(#REF!,$J$12,WEEKDAY(C$6),14,1))),ROW(D$1:D$14),""),ROW($A3))),"")</f>
        <v/>
      </c>
      <c r="D15" s="13" t="str">
        <f t="array" aca="1" ref="D15" ca="1">IFERROR(INDEX((OFFSET(#REF!,$J$12,WEEKDAY(D$6),14,1)),SMALL(IF(ISTEXT((OFFSET(#REF!,$J$12,WEEKDAY(D$6),14,1))),ROW(E$1:E$14),""),ROW($A3))),"")</f>
        <v/>
      </c>
      <c r="E15" s="13" t="str">
        <f t="array" aca="1" ref="E15" ca="1">IFERROR(INDEX((OFFSET(#REF!,$J$12,WEEKDAY(E$6),14,1)),SMALL(IF(ISTEXT((OFFSET(#REF!,$J$12,WEEKDAY(E$6),14,1))),ROW(F$1:F$14),""),ROW($A3))),"")</f>
        <v/>
      </c>
      <c r="F15" s="20" t="str">
        <f t="array" aca="1" ref="F15" ca="1">IFERROR(INDEX((OFFSET(#REF!,$J$12,WEEKDAY(F$6),14,1)),SMALL(IF(ISTEXT((OFFSET(#REF!,$J$12,WEEKDAY(F$6),14,1))),ROW(G$1:G$14),""),ROW($A3))),"")</f>
        <v/>
      </c>
      <c r="G15" s="20" t="str">
        <f t="array" aca="1" ref="G15" ca="1">IFERROR(INDEX((OFFSET(#REF!,$J$12,WEEKDAY(G$6),14,1)),SMALL(IF(ISTEXT((OFFSET(#REF!,$J$12,WEEKDAY(G$6),14,1))),ROW(H$1:H$14),""),ROW($A3))),"")</f>
        <v/>
      </c>
      <c r="M15" t="str">
        <f t="array" aca="1" ref="M15" ca="1">IFERROR(INDEX(Stats!$A$35:$P$48,SMALL(IF(NOT(OFFSET(Stats!$A$34,1,(MATCH(Swap!$L$8,Stats!$B$1:$P$1,0)),14,1)=0),ROW($A$1:$A$14),""),ROW(A6)),1),"")</f>
        <v/>
      </c>
      <c r="N15" s="13" t="str">
        <f t="array" aca="1" ref="N15" ca="1">IFERROR(INDEX(Stats!$A$35:$P$48,MATCH(M15,Stats!$A$35:$A$48,0),MATCH($L$8,Stats!$A$1:$P$1,0)),"")</f>
        <v/>
      </c>
    </row>
    <row r="16" spans="1:17" ht="14.65" customHeight="1" x14ac:dyDescent="0.25">
      <c r="A16" s="13"/>
      <c r="B16" s="13"/>
      <c r="C16" s="13"/>
      <c r="D16" s="13"/>
      <c r="E16" s="13"/>
      <c r="F16" s="13"/>
      <c r="G16" s="13"/>
      <c r="M16" t="str">
        <f t="array" aca="1" ref="M16" ca="1">IFERROR(INDEX(Stats!$A$35:$P$48,SMALL(IF(NOT(OFFSET(Stats!$A$34,1,(MATCH(Swap!$L$8,Stats!$B$1:$P$1,0)),14,1)=0),ROW($A$1:$A$14),""),ROW(A7)),1),"")</f>
        <v/>
      </c>
      <c r="N16" s="13" t="str">
        <f t="array" aca="1" ref="N16" ca="1">IFERROR(INDEX(Stats!$A$35:$P$48,MATCH(M16,Stats!$A$35:$A$48,0),MATCH($L$8,Stats!$A$1:$P$1,0)),"")</f>
        <v/>
      </c>
    </row>
    <row r="17" spans="1:17" ht="14.65" customHeight="1" x14ac:dyDescent="0.25">
      <c r="A17" s="21">
        <f t="array" ref="A17:G17">DaysandWeeks+DATE(CalendarYear,MonthStart,1)-WEEKDAY(DATE(CalendarYear,MonthStart,1),1)+I17</f>
        <v>44360</v>
      </c>
      <c r="B17" s="21">
        <v>44361</v>
      </c>
      <c r="C17" s="21">
        <v>44362</v>
      </c>
      <c r="D17" s="21">
        <v>44363</v>
      </c>
      <c r="E17" s="21">
        <v>44364</v>
      </c>
      <c r="F17" s="21">
        <v>44365</v>
      </c>
      <c r="G17" s="21">
        <v>44366</v>
      </c>
      <c r="I17">
        <f t="shared" ref="I17" si="1">I12+7</f>
        <v>15</v>
      </c>
      <c r="J17" t="e">
        <f ca="1">MATCH(A17,OFFSET(#REF!,1,COLUMN(A17),286,1))</f>
        <v>#REF!</v>
      </c>
      <c r="L17" s="5"/>
      <c r="M17" t="str">
        <f t="array" aca="1" ref="M17" ca="1">IFERROR(INDEX(Stats!$A$35:$P$48,SMALL(IF(NOT(OFFSET(Stats!$A$34,1,(MATCH(Swap!$L$8,Stats!$B$1:$P$1,0)),14,1)=0),ROW($A$1:$A$14),""),ROW(A8)),1),"")</f>
        <v/>
      </c>
      <c r="N17" s="13" t="str">
        <f t="array" aca="1" ref="N17" ca="1">IFERROR(INDEX(Stats!$A$35:$P$48,MATCH(M17,Stats!$A$35:$A$48,0),MATCH($L$8,Stats!$A$1:$P$1,0)),"")</f>
        <v/>
      </c>
      <c r="O17" s="5"/>
      <c r="P17" s="5"/>
      <c r="Q17" s="5"/>
    </row>
    <row r="18" spans="1:17" x14ac:dyDescent="0.25">
      <c r="A18" s="20" t="str">
        <f t="array" aca="1" ref="A18" ca="1">IFERROR(INDEX((OFFSET(#REF!,$J$17,WEEKDAY(A$6),14,1)),SMALL(IF(ISTEXT((OFFSET(#REF!,$J$17,WEEKDAY(A$6),14,1))),ROW(B$1:B$14),""),ROW($A1))),"")</f>
        <v/>
      </c>
      <c r="B18" s="20" t="str">
        <f t="array" aca="1" ref="B18" ca="1">IFERROR(INDEX((OFFSET(#REF!,$J$17,WEEKDAY(B$6),14,1)),SMALL(IF(ISTEXT((OFFSET(#REF!,$J$17,WEEKDAY(B$6),14,1))),ROW(C$1:C$14),""),ROW($A1))),"")</f>
        <v/>
      </c>
      <c r="C18" s="20" t="str">
        <f t="array" aca="1" ref="C18" ca="1">IFERROR(INDEX((OFFSET(#REF!,$J$17,WEEKDAY(C$6),14,1)),SMALL(IF(ISTEXT((OFFSET(#REF!,$J$17,WEEKDAY(C$6),14,1))),ROW(D$1:D$14),""),ROW($A1))),"")</f>
        <v/>
      </c>
      <c r="D18" s="20" t="str">
        <f t="array" aca="1" ref="D18" ca="1">IFERROR(INDEX((OFFSET(#REF!,$J$17,WEEKDAY(D$6),14,1)),SMALL(IF(ISTEXT((OFFSET(#REF!,$J$17,WEEKDAY(D$6),14,1))),ROW(E$1:E$14),""),ROW($A1))),"")</f>
        <v/>
      </c>
      <c r="E18" s="20" t="str">
        <f t="array" aca="1" ref="E18" ca="1">IFERROR(INDEX((OFFSET(#REF!,$J$17,WEEKDAY(E$6),14,1)),SMALL(IF(ISTEXT((OFFSET(#REF!,$J$17,WEEKDAY(E$6),14,1))),ROW(F$1:F$14),""),ROW($A1))),"")</f>
        <v/>
      </c>
      <c r="F18" s="20" t="str">
        <f t="array" aca="1" ref="F18" ca="1">IFERROR(INDEX((OFFSET(#REF!,$J$17,WEEKDAY(F$6),14,1)),SMALL(IF(ISTEXT((OFFSET(#REF!,$J$17,WEEKDAY(F$6),14,1))),ROW(G$1:G$14),""),ROW($A1))),"")</f>
        <v/>
      </c>
      <c r="G18" s="20" t="str">
        <f t="array" aca="1" ref="G18" ca="1">IFERROR(INDEX((OFFSET(#REF!,$J$17,WEEKDAY(G$6),14,1)),SMALL(IF(ISTEXT((OFFSET(#REF!,$J$17,WEEKDAY(G$6),14,1))),ROW(H$1:H$14),""),ROW($A1))),"")</f>
        <v/>
      </c>
      <c r="M18" t="str">
        <f t="array" aca="1" ref="M18" ca="1">IFERROR(INDEX(Stats!$A$35:$P$48,SMALL(IF(NOT(OFFSET(Stats!$A$34,1,(MATCH(Swap!$L$8,Stats!$B$1:$P$1,0)),14,1)=0),ROW($A$1:$A$14),""),ROW(A9)),1),"")</f>
        <v/>
      </c>
      <c r="N18" s="13" t="str">
        <f t="array" aca="1" ref="N18" ca="1">IFERROR(INDEX(Stats!$A$35:$P$48,MATCH(M18,Stats!$A$35:$A$48,0),MATCH($L$8,Stats!$A$1:$P$1,0)),"")</f>
        <v/>
      </c>
    </row>
    <row r="19" spans="1:17" x14ac:dyDescent="0.25">
      <c r="A19" s="20" t="str">
        <f t="array" aca="1" ref="A19" ca="1">IFERROR(INDEX((OFFSET(#REF!,$J$17,WEEKDAY(A$6),14,1)),SMALL(IF(ISTEXT((OFFSET(#REF!,$J$17,WEEKDAY(A$6),14,1))),ROW(B$1:B$14),""),ROW($A2))),"")</f>
        <v/>
      </c>
      <c r="B19" s="20" t="str">
        <f t="array" aca="1" ref="B19" ca="1">IFERROR(INDEX((OFFSET(#REF!,$J$17,WEEKDAY(B$6),14,1)),SMALL(IF(ISTEXT((OFFSET(#REF!,$J$17,WEEKDAY(B$6),14,1))),ROW(C$1:C$14),""),ROW($A2))),"")</f>
        <v/>
      </c>
      <c r="C19" s="20" t="str">
        <f t="array" aca="1" ref="C19" ca="1">IFERROR(INDEX((OFFSET(#REF!,$J$17,WEEKDAY(C$6),14,1)),SMALL(IF(ISTEXT((OFFSET(#REF!,$J$17,WEEKDAY(C$6),14,1))),ROW(D$1:D$14),""),ROW($A2))),"")</f>
        <v/>
      </c>
      <c r="D19" s="20" t="str">
        <f t="array" aca="1" ref="D19" ca="1">IFERROR(INDEX((OFFSET(#REF!,$J$17,WEEKDAY(D$6),14,1)),SMALL(IF(ISTEXT((OFFSET(#REF!,$J$17,WEEKDAY(D$6),14,1))),ROW(E$1:E$14),""),ROW($A2))),"")</f>
        <v/>
      </c>
      <c r="E19" s="20" t="str">
        <f t="array" aca="1" ref="E19" ca="1">IFERROR(INDEX((OFFSET(#REF!,$J$17,WEEKDAY(E$6),14,1)),SMALL(IF(ISTEXT((OFFSET(#REF!,$J$17,WEEKDAY(E$6),14,1))),ROW(F$1:F$14),""),ROW($A2))),"")</f>
        <v/>
      </c>
      <c r="F19" s="20" t="str">
        <f t="array" aca="1" ref="F19" ca="1">IFERROR(INDEX((OFFSET(#REF!,$J$17,WEEKDAY(F$6),14,1)),SMALL(IF(ISTEXT((OFFSET(#REF!,$J$17,WEEKDAY(F$6),14,1))),ROW(G$1:G$14),""),ROW($A2))),"")</f>
        <v/>
      </c>
      <c r="G19" s="20" t="str">
        <f t="array" aca="1" ref="G19" ca="1">IFERROR(INDEX((OFFSET(#REF!,$J$17,WEEKDAY(G$6),14,1)),SMALL(IF(ISTEXT((OFFSET(#REF!,$J$17,WEEKDAY(G$6),14,1))),ROW(H$1:H$14),""),ROW($A2))),"")</f>
        <v/>
      </c>
      <c r="M19" t="str">
        <f t="array" aca="1" ref="M19" ca="1">IFERROR(INDEX(Stats!$A$35:$P$48,SMALL(IF(NOT(OFFSET(Stats!$A$34,1,(MATCH(Swap!$L$8,Stats!$B$1:$P$1,0)),14,1)=0),ROW($A$1:$A$14),""),ROW(A10)),1),"")</f>
        <v/>
      </c>
      <c r="N19" s="13" t="str">
        <f t="array" aca="1" ref="N19" ca="1">IFERROR(INDEX(Stats!$A$35:$P$48,MATCH(M19,Stats!$A$35:$A$48,0),MATCH($L$8,Stats!$A$1:$P$1,0)),"")</f>
        <v/>
      </c>
    </row>
    <row r="20" spans="1:17" x14ac:dyDescent="0.25">
      <c r="A20" s="20" t="str">
        <f t="array" aca="1" ref="A20" ca="1">IFERROR(INDEX((OFFSET(#REF!,$J$17,WEEKDAY(A$6),14,1)),SMALL(IF(ISTEXT((OFFSET(#REF!,$J$17,WEEKDAY(A$6),14,1))),ROW(B$1:B$14),""),ROW($A3))),"")</f>
        <v/>
      </c>
      <c r="B20" s="20" t="str">
        <f t="array" aca="1" ref="B20" ca="1">IFERROR(INDEX((OFFSET(#REF!,$J$17,WEEKDAY(B$6),14,1)),SMALL(IF(ISTEXT((OFFSET(#REF!,$J$17,WEEKDAY(B$6),14,1))),ROW(C$1:C$14),""),ROW($A3))),"")</f>
        <v/>
      </c>
      <c r="C20" s="13" t="str">
        <f t="array" aca="1" ref="C20" ca="1">IFERROR(INDEX((OFFSET(#REF!,$J$17,WEEKDAY(C$6),14,1)),SMALL(IF(ISTEXT((OFFSET(#REF!,$J$17,WEEKDAY(C$6),14,1))),ROW(D$1:D$14),""),ROW($A3))),"")</f>
        <v/>
      </c>
      <c r="D20" s="13" t="str">
        <f t="array" aca="1" ref="D20" ca="1">IFERROR(INDEX((OFFSET(#REF!,$J$17,WEEKDAY(D$6),14,1)),SMALL(IF(ISTEXT((OFFSET(#REF!,$J$17,WEEKDAY(D$6),14,1))),ROW(E$1:E$14),""),ROW($A3))),"")</f>
        <v/>
      </c>
      <c r="E20" s="13" t="str">
        <f t="array" aca="1" ref="E20" ca="1">IFERROR(INDEX((OFFSET(#REF!,$J$17,WEEKDAY(E$6),14,1)),SMALL(IF(ISTEXT((OFFSET(#REF!,$J$17,WEEKDAY(E$6),14,1))),ROW(F$1:F$14),""),ROW($A3))),"")</f>
        <v/>
      </c>
      <c r="F20" s="20" t="str">
        <f t="array" aca="1" ref="F20" ca="1">IFERROR(INDEX((OFFSET(#REF!,$J$17,WEEKDAY(F$6),14,1)),SMALL(IF(ISTEXT((OFFSET(#REF!,$J$17,WEEKDAY(F$6),14,1))),ROW(G$1:G$14),""),ROW($A3))),"")</f>
        <v/>
      </c>
      <c r="G20" s="20" t="str">
        <f t="array" aca="1" ref="G20" ca="1">IFERROR(INDEX((OFFSET(#REF!,$J$17,WEEKDAY(G$6),14,1)),SMALL(IF(ISTEXT((OFFSET(#REF!,$J$17,WEEKDAY(G$6),14,1))),ROW(H$1:H$14),""),ROW($A3))),"")</f>
        <v/>
      </c>
      <c r="M20" t="str">
        <f t="array" aca="1" ref="M20" ca="1">IFERROR(INDEX(Stats!$A$35:$P$48,SMALL(IF(NOT(OFFSET(Stats!$A$34,1,(MATCH(Swap!$L$8,Stats!$B$1:$P$1,0)),14,1)=0),ROW($A$1:$A$14),""),ROW(A11)),1),"")</f>
        <v/>
      </c>
      <c r="N20" s="13" t="str">
        <f t="array" aca="1" ref="N20" ca="1">IFERROR(INDEX(Stats!$A$35:$P$48,MATCH(M20,Stats!$A$35:$A$48,0),MATCH($L$8,Stats!$A$1:$P$1,0)),"")</f>
        <v/>
      </c>
    </row>
    <row r="21" spans="1:17" x14ac:dyDescent="0.25">
      <c r="A21" s="13"/>
      <c r="B21" s="13"/>
      <c r="C21" s="13"/>
      <c r="D21" s="13"/>
      <c r="E21" s="13"/>
      <c r="F21" s="13"/>
      <c r="G21" s="13"/>
      <c r="M21" t="str">
        <f t="array" aca="1" ref="M21" ca="1">IFERROR(INDEX(Stats!$A$35:$P$48,SMALL(IF(NOT(OFFSET(Stats!$A$34,1,(MATCH(Swap!$L$8,Stats!$B$1:$P$1,0)),14,1)=0),ROW($A$1:$A$14),""),ROW(A12)),1),"")</f>
        <v/>
      </c>
      <c r="N21" s="13" t="str">
        <f t="array" aca="1" ref="N21" ca="1">IFERROR(INDEX(Stats!$A$35:$P$48,MATCH(M21,Stats!$A$35:$A$48,0),MATCH($L$8,Stats!$A$1:$P$1,0)),"")</f>
        <v/>
      </c>
    </row>
    <row r="22" spans="1:17" x14ac:dyDescent="0.25">
      <c r="A22" s="21">
        <f t="array" ref="A22:G22">DaysandWeeks+DATE(CalendarYear,MonthStart,1)-WEEKDAY(DATE(CalendarYear,MonthStart,1),1)+I22</f>
        <v>44367</v>
      </c>
      <c r="B22" s="21">
        <v>44368</v>
      </c>
      <c r="C22" s="21">
        <v>44369</v>
      </c>
      <c r="D22" s="21">
        <v>44370</v>
      </c>
      <c r="E22" s="21">
        <v>44371</v>
      </c>
      <c r="F22" s="21">
        <v>44372</v>
      </c>
      <c r="G22" s="21">
        <v>44373</v>
      </c>
      <c r="I22">
        <f t="shared" ref="I22" si="2">I17+7</f>
        <v>22</v>
      </c>
      <c r="J22" t="e">
        <f ca="1">MATCH(A22,OFFSET(#REF!,1,COLUMN(A22),286,1))</f>
        <v>#REF!</v>
      </c>
      <c r="K22" s="5"/>
      <c r="L22" s="5"/>
      <c r="M22" t="str">
        <f t="array" aca="1" ref="M22" ca="1">IFERROR(INDEX(Stats!$A$35:$P$48,SMALL(IF(NOT(OFFSET(Stats!$A$34,1,(MATCH(Swap!$L$8,Stats!$B$1:$P$1,0)),14,1)=0),ROW($A$1:$A$14),""),ROW(A13)),1),"")</f>
        <v/>
      </c>
      <c r="N22" s="13" t="str">
        <f t="array" aca="1" ref="N22" ca="1">IFERROR(INDEX(Stats!$A$35:$P$48,MATCH(M22,Stats!$A$35:$A$48,0),MATCH($L$8,Stats!$A$1:$P$1,0)),"")</f>
        <v/>
      </c>
      <c r="O22" s="5"/>
      <c r="P22" s="5"/>
      <c r="Q22" s="5"/>
    </row>
    <row r="23" spans="1:17" x14ac:dyDescent="0.25">
      <c r="A23" s="20" t="str">
        <f t="array" aca="1" ref="A23" ca="1">IFERROR(INDEX((OFFSET(#REF!,$J$22,WEEKDAY(A$6),14,1)),SMALL(IF(ISTEXT((OFFSET(#REF!,$J$22,WEEKDAY(A$6),14,1))),ROW(B$1:B$14),""),ROW($A1))),"")</f>
        <v/>
      </c>
      <c r="B23" s="20" t="str">
        <f t="array" aca="1" ref="B23" ca="1">IFERROR(INDEX((OFFSET(#REF!,$J$22,WEEKDAY(B$6),14,1)),SMALL(IF(ISTEXT((OFFSET(#REF!,$J$22,WEEKDAY(B$6),14,1))),ROW(C$1:C$14),""),ROW($A1))),"")</f>
        <v/>
      </c>
      <c r="C23" s="20" t="str">
        <f t="array" aca="1" ref="C23" ca="1">IFERROR(INDEX((OFFSET(#REF!,$J$22,WEEKDAY(C$6),14,1)),SMALL(IF(ISTEXT((OFFSET(#REF!,$J$22,WEEKDAY(C$6),14,1))),ROW(D$1:D$14),""),ROW($A1))),"")</f>
        <v/>
      </c>
      <c r="D23" s="20" t="str">
        <f t="array" aca="1" ref="D23" ca="1">IFERROR(INDEX((OFFSET(#REF!,$J$22,WEEKDAY(D$6),14,1)),SMALL(IF(ISTEXT((OFFSET(#REF!,$J$22,WEEKDAY(D$6),14,1))),ROW(E$1:E$14),""),ROW($A1))),"")</f>
        <v/>
      </c>
      <c r="E23" s="20" t="str">
        <f t="array" aca="1" ref="E23" ca="1">IFERROR(INDEX((OFFSET(#REF!,$J$22,WEEKDAY(E$6),14,1)),SMALL(IF(ISTEXT((OFFSET(#REF!,$J$22,WEEKDAY(E$6),14,1))),ROW(F$1:F$14),""),ROW($A1))),"")</f>
        <v/>
      </c>
      <c r="F23" s="20" t="str">
        <f t="array" aca="1" ref="F23" ca="1">IFERROR(INDEX((OFFSET(#REF!,$J$22,WEEKDAY(F$6),14,1)),SMALL(IF(ISTEXT((OFFSET(#REF!,$J$22,WEEKDAY(F$6),14,1))),ROW(G$1:G$14),""),ROW($A1))),"")</f>
        <v/>
      </c>
      <c r="G23" s="20" t="str">
        <f t="array" aca="1" ref="G23" ca="1">IFERROR(INDEX((OFFSET(#REF!,$J$22,WEEKDAY(G$6),14,1)),SMALL(IF(ISTEXT((OFFSET(#REF!,$J$22,WEEKDAY(G$6),14,1))),ROW(H$1:H$14),""),ROW($A1))),"")</f>
        <v/>
      </c>
      <c r="L23" s="3"/>
      <c r="M23" t="str">
        <f t="array" aca="1" ref="M23" ca="1">IFERROR(INDEX(Stats!$A$35:$P$48,SMALL(IF(NOT(OFFSET(Stats!$A$34,1,(MATCH(Swap!$L$8,Stats!$B$1:$P$1,0)),14,1)=0),ROW($A$1:$A$14),""),ROW(A14)),1),"")</f>
        <v/>
      </c>
      <c r="N23" s="13" t="str">
        <f t="array" aca="1" ref="N23" ca="1">IFERROR(INDEX(Stats!$A$35:$P$48,MATCH(M23,Stats!$A$35:$A$48,0),MATCH($L$8,Stats!$A$1:$P$1,0)),"")</f>
        <v/>
      </c>
      <c r="O23" s="3"/>
      <c r="P23" s="3"/>
    </row>
    <row r="24" spans="1:17" x14ac:dyDescent="0.25">
      <c r="A24" s="20" t="str">
        <f t="array" aca="1" ref="A24" ca="1">IFERROR(INDEX((OFFSET(#REF!,$J$22,WEEKDAY(A$6),14,1)),SMALL(IF(ISTEXT((OFFSET(#REF!,$J$22,WEEKDAY(A$6),14,1))),ROW(B$1:B$14),""),ROW($A2))),"")</f>
        <v/>
      </c>
      <c r="B24" s="20" t="str">
        <f t="array" aca="1" ref="B24" ca="1">IFERROR(INDEX((OFFSET(#REF!,$J$22,WEEKDAY(B$6),14,1)),SMALL(IF(ISTEXT((OFFSET(#REF!,$J$22,WEEKDAY(B$6),14,1))),ROW(C$1:C$14),""),ROW($A2))),"")</f>
        <v/>
      </c>
      <c r="C24" s="20" t="str">
        <f t="array" aca="1" ref="C24" ca="1">IFERROR(INDEX((OFFSET(#REF!,$J$22,WEEKDAY(C$6),14,1)),SMALL(IF(ISTEXT((OFFSET(#REF!,$J$22,WEEKDAY(C$6),14,1))),ROW(D$1:D$14),""),ROW($A2))),"")</f>
        <v/>
      </c>
      <c r="D24" s="20" t="str">
        <f t="array" aca="1" ref="D24" ca="1">IFERROR(INDEX((OFFSET(#REF!,$J$22,WEEKDAY(D$6),14,1)),SMALL(IF(ISTEXT((OFFSET(#REF!,$J$22,WEEKDAY(D$6),14,1))),ROW(E$1:E$14),""),ROW($A2))),"")</f>
        <v/>
      </c>
      <c r="E24" s="20" t="str">
        <f t="array" aca="1" ref="E24" ca="1">IFERROR(INDEX((OFFSET(#REF!,$J$22,WEEKDAY(E$6),14,1)),SMALL(IF(ISTEXT((OFFSET(#REF!,$J$22,WEEKDAY(E$6),14,1))),ROW(F$1:F$14),""),ROW($A2))),"")</f>
        <v/>
      </c>
      <c r="F24" s="20" t="str">
        <f t="array" aca="1" ref="F24" ca="1">IFERROR(INDEX((OFFSET(#REF!,$J$22,WEEKDAY(F$6),14,1)),SMALL(IF(ISTEXT((OFFSET(#REF!,$J$22,WEEKDAY(F$6),14,1))),ROW(G$1:G$14),""),ROW($A2))),"")</f>
        <v/>
      </c>
      <c r="G24" s="20" t="str">
        <f t="array" aca="1" ref="G24" ca="1">IFERROR(INDEX((OFFSET(#REF!,$J$22,WEEKDAY(G$6),14,1)),SMALL(IF(ISTEXT((OFFSET(#REF!,$J$22,WEEKDAY(G$6),14,1))),ROW(H$1:H$14),""),ROW($A2))),"")</f>
        <v/>
      </c>
    </row>
    <row r="25" spans="1:17" x14ac:dyDescent="0.25">
      <c r="A25" s="20" t="str">
        <f t="array" aca="1" ref="A25" ca="1">IFERROR(INDEX((OFFSET(#REF!,$J$22,WEEKDAY(A$6),14,1)),SMALL(IF(ISTEXT((OFFSET(#REF!,$J$22,WEEKDAY(A$6),14,1))),ROW(B$1:B$14),""),ROW($A3))),"")</f>
        <v/>
      </c>
      <c r="B25" s="20" t="str">
        <f t="array" aca="1" ref="B25" ca="1">IFERROR(INDEX((OFFSET(#REF!,$J$22,WEEKDAY(B$6),14,1)),SMALL(IF(ISTEXT((OFFSET(#REF!,$J$22,WEEKDAY(B$6),14,1))),ROW(C$1:C$14),""),ROW($A3))),"")</f>
        <v/>
      </c>
      <c r="C25" s="13" t="str">
        <f t="array" aca="1" ref="C25" ca="1">IFERROR(INDEX((OFFSET(#REF!,$J$22,WEEKDAY(C$6),14,1)),SMALL(IF(ISTEXT((OFFSET(#REF!,$J$22,WEEKDAY(C$6),14,1))),ROW(D$1:D$14),""),ROW($A3))),"")</f>
        <v/>
      </c>
      <c r="D25" s="13" t="str">
        <f t="array" aca="1" ref="D25" ca="1">IFERROR(INDEX((OFFSET(#REF!,$J$22,WEEKDAY(D$6),14,1)),SMALL(IF(ISTEXT((OFFSET(#REF!,$J$22,WEEKDAY(D$6),14,1))),ROW(E$1:E$14),""),ROW($A3))),"")</f>
        <v/>
      </c>
      <c r="E25" s="13" t="str">
        <f t="array" aca="1" ref="E25" ca="1">IFERROR(INDEX((OFFSET(#REF!,$J$22,WEEKDAY(E$6),14,1)),SMALL(IF(ISTEXT((OFFSET(#REF!,$J$22,WEEKDAY(E$6),14,1))),ROW(F$1:F$14),""),ROW($A3))),"")</f>
        <v/>
      </c>
      <c r="F25" s="20" t="str">
        <f t="array" aca="1" ref="F25" ca="1">IFERROR(INDEX((OFFSET(#REF!,$J$22,WEEKDAY(F$6),14,1)),SMALL(IF(ISTEXT((OFFSET(#REF!,$J$22,WEEKDAY(F$6),14,1))),ROW(G$1:G$14),""),ROW($A3))),"")</f>
        <v/>
      </c>
      <c r="G25" s="20" t="str">
        <f t="array" aca="1" ref="G25" ca="1">IFERROR(INDEX((OFFSET(#REF!,$J$22,WEEKDAY(G$6),14,1)),SMALL(IF(ISTEXT((OFFSET(#REF!,$J$22,WEEKDAY(G$6),14,1))),ROW(H$1:H$14),""),ROW($A3))),"")</f>
        <v/>
      </c>
    </row>
    <row r="26" spans="1:17" x14ac:dyDescent="0.25">
      <c r="A26" s="13"/>
      <c r="B26" s="13"/>
      <c r="C26" s="13"/>
      <c r="D26" s="13"/>
      <c r="E26" s="13"/>
      <c r="F26" s="13"/>
      <c r="G26" s="13"/>
    </row>
    <row r="27" spans="1:17" x14ac:dyDescent="0.25">
      <c r="A27" s="21">
        <f t="array" ref="A27:G27">DaysandWeeks+DATE(CalendarYear,MonthStart,1)-WEEKDAY(DATE(CalendarYear,MonthStart,1),1)+I27</f>
        <v>44374</v>
      </c>
      <c r="B27" s="21">
        <v>44375</v>
      </c>
      <c r="C27" s="21">
        <v>44376</v>
      </c>
      <c r="D27" s="21">
        <v>44377</v>
      </c>
      <c r="E27" s="21">
        <v>44378</v>
      </c>
      <c r="F27" s="21">
        <v>44379</v>
      </c>
      <c r="G27" s="21">
        <v>44380</v>
      </c>
      <c r="I27">
        <f t="shared" ref="I27" si="3">I22+7</f>
        <v>29</v>
      </c>
      <c r="J27" t="e">
        <f ca="1">MATCH(A27,OFFSET(#REF!,1,COLUMN(A27),286,1))</f>
        <v>#REF!</v>
      </c>
      <c r="K27" s="5"/>
      <c r="L27" s="5"/>
      <c r="M27" s="5"/>
      <c r="N27" s="5"/>
      <c r="O27" s="5"/>
      <c r="P27" s="5"/>
      <c r="Q27" s="5"/>
    </row>
    <row r="28" spans="1:17" x14ac:dyDescent="0.25">
      <c r="A28" s="20" t="str">
        <f t="array" aca="1" ref="A28" ca="1">IFERROR(INDEX((OFFSET(#REF!,$J$27,WEEKDAY(A$6),14,1)),SMALL(IF(ISTEXT((OFFSET(#REF!,$J$27,WEEKDAY(A$6),14,1))),ROW(B$1:B$14),""),ROW($A1))),"")</f>
        <v/>
      </c>
      <c r="B28" s="20" t="str">
        <f t="array" aca="1" ref="B28" ca="1">IFERROR(INDEX((OFFSET(#REF!,$J$27,WEEKDAY(B$6),14,1)),SMALL(IF(ISTEXT((OFFSET(#REF!,$J$27,WEEKDAY(B$6),14,1))),ROW(C$1:C$14),""),ROW($A1))),"")</f>
        <v/>
      </c>
      <c r="C28" s="20" t="str">
        <f t="array" aca="1" ref="C28" ca="1">IFERROR(INDEX((OFFSET(#REF!,$J$27,WEEKDAY(C$6),14,1)),SMALL(IF(ISTEXT((OFFSET(#REF!,$J$27,WEEKDAY(C$6),14,1))),ROW(D$1:D$14),""),ROW($A1))),"")</f>
        <v/>
      </c>
      <c r="D28" s="20" t="str">
        <f t="array" aca="1" ref="D28" ca="1">IFERROR(INDEX((OFFSET(#REF!,$J$27,WEEKDAY(D$6),14,1)),SMALL(IF(ISTEXT((OFFSET(#REF!,$J$27,WEEKDAY(D$6),14,1))),ROW(E$1:E$14),""),ROW($A1))),"")</f>
        <v/>
      </c>
      <c r="E28" s="20" t="str">
        <f t="array" aca="1" ref="E28" ca="1">IFERROR(INDEX((OFFSET(#REF!,$J$27,WEEKDAY(E$6),14,1)),SMALL(IF(ISTEXT((OFFSET(#REF!,$J$27,WEEKDAY(E$6),14,1))),ROW(F$1:F$14),""),ROW($A1))),"")</f>
        <v/>
      </c>
      <c r="F28" s="20" t="str">
        <f t="array" aca="1" ref="F28" ca="1">IFERROR(INDEX((OFFSET(#REF!,$J$27,WEEKDAY(F$6),14,1)),SMALL(IF(ISTEXT((OFFSET(#REF!,$J$27,WEEKDAY(F$6),14,1))),ROW(G$1:G$14),""),ROW($A1))),"")</f>
        <v/>
      </c>
      <c r="G28" s="20" t="str">
        <f t="array" aca="1" ref="G28" ca="1">IFERROR(INDEX((OFFSET(#REF!,$J$27,WEEKDAY(G$6),14,1)),SMALL(IF(ISTEXT((OFFSET(#REF!,$J$27,WEEKDAY(G$6),14,1))),ROW(H$1:H$14),""),ROW($A1))),"")</f>
        <v/>
      </c>
    </row>
    <row r="29" spans="1:17" x14ac:dyDescent="0.25">
      <c r="A29" s="20" t="str">
        <f t="array" aca="1" ref="A29" ca="1">IFERROR(INDEX((OFFSET(#REF!,$J$27,WEEKDAY(A$6),14,1)),SMALL(IF(ISTEXT((OFFSET(#REF!,$J$27,WEEKDAY(A$6),14,1))),ROW(B$1:B$14),""),ROW($A2))),"")</f>
        <v/>
      </c>
      <c r="B29" s="20" t="str">
        <f t="array" aca="1" ref="B29" ca="1">IFERROR(INDEX((OFFSET(#REF!,$J$27,WEEKDAY(B$6),14,1)),SMALL(IF(ISTEXT((OFFSET(#REF!,$J$27,WEEKDAY(B$6),14,1))),ROW(C$1:C$14),""),ROW($A2))),"")</f>
        <v/>
      </c>
      <c r="C29" s="20" t="str">
        <f t="array" aca="1" ref="C29" ca="1">IFERROR(INDEX((OFFSET(#REF!,$J$27,WEEKDAY(C$6),14,1)),SMALL(IF(ISTEXT((OFFSET(#REF!,$J$27,WEEKDAY(C$6),14,1))),ROW(D$1:D$14),""),ROW($A2))),"")</f>
        <v/>
      </c>
      <c r="D29" s="20" t="str">
        <f t="array" aca="1" ref="D29" ca="1">IFERROR(INDEX((OFFSET(#REF!,$J$27,WEEKDAY(D$6),14,1)),SMALL(IF(ISTEXT((OFFSET(#REF!,$J$27,WEEKDAY(D$6),14,1))),ROW(E$1:E$14),""),ROW($A2))),"")</f>
        <v/>
      </c>
      <c r="E29" s="20" t="str">
        <f t="array" aca="1" ref="E29" ca="1">IFERROR(INDEX((OFFSET(#REF!,$J$27,WEEKDAY(E$6),14,1)),SMALL(IF(ISTEXT((OFFSET(#REF!,$J$27,WEEKDAY(E$6),14,1))),ROW(F$1:F$14),""),ROW($A2))),"")</f>
        <v/>
      </c>
      <c r="F29" s="20" t="str">
        <f t="array" aca="1" ref="F29" ca="1">IFERROR(INDEX((OFFSET(#REF!,$J$27,WEEKDAY(F$6),14,1)),SMALL(IF(ISTEXT((OFFSET(#REF!,$J$27,WEEKDAY(F$6),14,1))),ROW(G$1:G$14),""),ROW($A2))),"")</f>
        <v/>
      </c>
      <c r="G29" s="20" t="str">
        <f t="array" aca="1" ref="G29" ca="1">IFERROR(INDEX((OFFSET(#REF!,$J$27,WEEKDAY(G$6),14,1)),SMALL(IF(ISTEXT((OFFSET(#REF!,$J$27,WEEKDAY(G$6),14,1))),ROW(H$1:H$14),""),ROW($A2))),"")</f>
        <v/>
      </c>
    </row>
    <row r="30" spans="1:17" x14ac:dyDescent="0.25">
      <c r="A30" s="20" t="str">
        <f t="array" aca="1" ref="A30" ca="1">IFERROR(INDEX((OFFSET(#REF!,$J$27,WEEKDAY(A$6),14,1)),SMALL(IF(ISTEXT((OFFSET(#REF!,$J$27,WEEKDAY(A$6),14,1))),ROW(B$1:B$14),""),ROW($A3))),"")</f>
        <v/>
      </c>
      <c r="B30" s="20" t="str">
        <f t="array" aca="1" ref="B30" ca="1">IFERROR(INDEX((OFFSET(#REF!,$J$27,WEEKDAY(B$6),14,1)),SMALL(IF(ISTEXT((OFFSET(#REF!,$J$27,WEEKDAY(B$6),14,1))),ROW(C$1:C$14),""),ROW($A3))),"")</f>
        <v/>
      </c>
      <c r="C30" s="13" t="str">
        <f t="array" aca="1" ref="C30" ca="1">IFERROR(INDEX((OFFSET(#REF!,$J$27,WEEKDAY(C$6),14,1)),SMALL(IF(ISTEXT((OFFSET(#REF!,$J$27,WEEKDAY(C$6),14,1))),ROW(D$1:D$14),""),ROW($A3))),"")</f>
        <v/>
      </c>
      <c r="D30" s="13" t="str">
        <f t="array" aca="1" ref="D30" ca="1">IFERROR(INDEX((OFFSET(#REF!,$J$27,WEEKDAY(D$6),14,1)),SMALL(IF(ISTEXT((OFFSET(#REF!,$J$27,WEEKDAY(D$6),14,1))),ROW(E$1:E$14),""),ROW($A3))),"")</f>
        <v/>
      </c>
      <c r="E30" s="13" t="str">
        <f t="array" aca="1" ref="E30" ca="1">IFERROR(INDEX((OFFSET(#REF!,$J$27,WEEKDAY(E$6),14,1)),SMALL(IF(ISTEXT((OFFSET(#REF!,$J$27,WEEKDAY(E$6),14,1))),ROW(F$1:F$14),""),ROW($A3))),"")</f>
        <v/>
      </c>
      <c r="F30" s="20" t="str">
        <f t="array" aca="1" ref="F30" ca="1">IFERROR(INDEX((OFFSET(#REF!,$J$27,WEEKDAY(F$6),14,1)),SMALL(IF(ISTEXT((OFFSET(#REF!,$J$27,WEEKDAY(F$6),14,1))),ROW(G$1:G$14),""),ROW($A3))),"")</f>
        <v/>
      </c>
      <c r="G30" s="20" t="str">
        <f t="array" aca="1" ref="G30" ca="1">IFERROR(INDEX((OFFSET(#REF!,$J$27,WEEKDAY(G$6),14,1)),SMALL(IF(ISTEXT((OFFSET(#REF!,$J$27,WEEKDAY(G$6),14,1))),ROW(H$1:H$14),""),ROW($A3))),"")</f>
        <v/>
      </c>
    </row>
    <row r="31" spans="1:17" x14ac:dyDescent="0.25">
      <c r="A31" s="13"/>
      <c r="B31" s="13"/>
      <c r="C31" s="13"/>
      <c r="D31" s="13"/>
      <c r="E31" s="13"/>
      <c r="F31" s="13"/>
      <c r="G31" s="13"/>
    </row>
    <row r="32" spans="1:17" x14ac:dyDescent="0.25">
      <c r="A32" s="21">
        <f t="array" ref="A32:G32">DaysandWeeks+DATE(CalendarYear,MonthStart,1)-WEEKDAY(DATE(CalendarYear,MonthStart,1),1)+I32</f>
        <v>44381</v>
      </c>
      <c r="B32" s="21">
        <v>44382</v>
      </c>
      <c r="C32" s="21">
        <v>44383</v>
      </c>
      <c r="D32" s="21">
        <v>44384</v>
      </c>
      <c r="E32" s="21">
        <v>44385</v>
      </c>
      <c r="F32" s="21">
        <v>44386</v>
      </c>
      <c r="G32" s="21">
        <v>44387</v>
      </c>
      <c r="I32">
        <f t="shared" ref="I32" si="4">I27+7</f>
        <v>36</v>
      </c>
      <c r="J32" t="e">
        <f ca="1">MATCH(A32,OFFSET(#REF!,1,COLUMN(A32),286,1))</f>
        <v>#REF!</v>
      </c>
      <c r="K32" s="5"/>
      <c r="L32" s="5"/>
      <c r="M32" s="5"/>
      <c r="N32" s="5"/>
      <c r="O32" s="5"/>
      <c r="P32" s="5"/>
      <c r="Q32" s="5"/>
    </row>
    <row r="33" spans="1:17" x14ac:dyDescent="0.25">
      <c r="A33" s="20" t="str">
        <f t="array" aca="1" ref="A33" ca="1">IFERROR(INDEX((OFFSET(#REF!,$J$32,WEEKDAY(A$6),14,1)),SMALL(IF(ISTEXT((OFFSET(#REF!,$J$32,WEEKDAY(A$6),14,1))),ROW(B$1:B$14),""),ROW($A1))),"")</f>
        <v/>
      </c>
      <c r="B33" s="20" t="str">
        <f t="array" aca="1" ref="B33" ca="1">IFERROR(INDEX((OFFSET(#REF!,$J$32,WEEKDAY(B$6),14,1)),SMALL(IF(ISTEXT((OFFSET(#REF!,$J$32,WEEKDAY(B$6),14,1))),ROW(C$1:C$14),""),ROW($A1))),"")</f>
        <v/>
      </c>
      <c r="C33" s="20" t="str">
        <f t="array" aca="1" ref="C33" ca="1">IFERROR(INDEX((OFFSET(#REF!,$J$32,WEEKDAY(C$6),14,1)),SMALL(IF(ISTEXT((OFFSET(#REF!,$J$32,WEEKDAY(C$6),14,1))),ROW(D$1:D$14),""),ROW($A1))),"")</f>
        <v/>
      </c>
      <c r="D33" s="20" t="str">
        <f t="array" aca="1" ref="D33" ca="1">IFERROR(INDEX((OFFSET(#REF!,$J$32,WEEKDAY(D$6),14,1)),SMALL(IF(ISTEXT((OFFSET(#REF!,$J$32,WEEKDAY(D$6),14,1))),ROW(E$1:E$14),""),ROW($A1))),"")</f>
        <v/>
      </c>
      <c r="E33" s="20" t="str">
        <f t="array" aca="1" ref="E33" ca="1">IFERROR(INDEX((OFFSET(#REF!,$J$32,WEEKDAY(E$6),14,1)),SMALL(IF(ISTEXT((OFFSET(#REF!,$J$32,WEEKDAY(E$6),14,1))),ROW(F$1:F$14),""),ROW($A1))),"")</f>
        <v/>
      </c>
      <c r="F33" s="20" t="str">
        <f t="array" aca="1" ref="F33" ca="1">IFERROR(INDEX((OFFSET(#REF!,$J$32,WEEKDAY(F$6),14,1)),SMALL(IF(ISTEXT((OFFSET(#REF!,$J$32,WEEKDAY(F$6),14,1))),ROW(G$1:G$14),""),ROW($A1))),"")</f>
        <v/>
      </c>
      <c r="G33" s="20" t="str">
        <f t="array" aca="1" ref="G33" ca="1">IFERROR(INDEX((OFFSET(#REF!,$J$32,WEEKDAY(G$6),14,1)),SMALL(IF(ISTEXT((OFFSET(#REF!,$J$32,WEEKDAY(G$6),14,1))),ROW(H$1:H$14),""),ROW($A1))),"")</f>
        <v/>
      </c>
    </row>
    <row r="34" spans="1:17" x14ac:dyDescent="0.25">
      <c r="A34" s="20" t="str">
        <f t="array" aca="1" ref="A34" ca="1">IFERROR(INDEX((OFFSET(#REF!,$J$32,WEEKDAY(A$6),14,1)),SMALL(IF(ISTEXT((OFFSET(#REF!,$J$32,WEEKDAY(A$6),14,1))),ROW(B$1:B$14),""),ROW($A2))),"")</f>
        <v/>
      </c>
      <c r="B34" s="20" t="str">
        <f t="array" aca="1" ref="B34" ca="1">IFERROR(INDEX((OFFSET(#REF!,$J$32,WEEKDAY(B$6),14,1)),SMALL(IF(ISTEXT((OFFSET(#REF!,$J$32,WEEKDAY(B$6),14,1))),ROW(C$1:C$14),""),ROW($A2))),"")</f>
        <v/>
      </c>
      <c r="C34" s="20" t="str">
        <f t="array" aca="1" ref="C34" ca="1">IFERROR(INDEX((OFFSET(#REF!,$J$32,WEEKDAY(C$6),14,1)),SMALL(IF(ISTEXT((OFFSET(#REF!,$J$32,WEEKDAY(C$6),14,1))),ROW(D$1:D$14),""),ROW($A2))),"")</f>
        <v/>
      </c>
      <c r="D34" s="20" t="str">
        <f t="array" aca="1" ref="D34" ca="1">IFERROR(INDEX((OFFSET(#REF!,$J$32,WEEKDAY(D$6),14,1)),SMALL(IF(ISTEXT((OFFSET(#REF!,$J$32,WEEKDAY(D$6),14,1))),ROW(E$1:E$14),""),ROW($A2))),"")</f>
        <v/>
      </c>
      <c r="E34" s="20" t="str">
        <f t="array" aca="1" ref="E34" ca="1">IFERROR(INDEX((OFFSET(#REF!,$J$32,WEEKDAY(E$6),14,1)),SMALL(IF(ISTEXT((OFFSET(#REF!,$J$32,WEEKDAY(E$6),14,1))),ROW(F$1:F$14),""),ROW($A2))),"")</f>
        <v/>
      </c>
      <c r="F34" s="20" t="str">
        <f t="array" aca="1" ref="F34" ca="1">IFERROR(INDEX((OFFSET(#REF!,$J$32,WEEKDAY(F$6),14,1)),SMALL(IF(ISTEXT((OFFSET(#REF!,$J$32,WEEKDAY(F$6),14,1))),ROW(G$1:G$14),""),ROW($A2))),"")</f>
        <v/>
      </c>
      <c r="G34" s="20" t="str">
        <f t="array" aca="1" ref="G34" ca="1">IFERROR(INDEX((OFFSET(#REF!,$J$32,WEEKDAY(G$6),14,1)),SMALL(IF(ISTEXT((OFFSET(#REF!,$J$32,WEEKDAY(G$6),14,1))),ROW(H$1:H$14),""),ROW($A2))),"")</f>
        <v/>
      </c>
    </row>
    <row r="35" spans="1:17" x14ac:dyDescent="0.25">
      <c r="A35" s="20" t="str">
        <f t="array" aca="1" ref="A35" ca="1">IFERROR(INDEX((OFFSET(#REF!,$J$32,WEEKDAY(A$6),14,1)),SMALL(IF(ISTEXT((OFFSET(#REF!,$J$32,WEEKDAY(A$6),14,1))),ROW(B$1:B$14),""),ROW($A3))),"")</f>
        <v/>
      </c>
      <c r="B35" s="20" t="str">
        <f t="array" aca="1" ref="B35" ca="1">IFERROR(INDEX((OFFSET(#REF!,$J$32,WEEKDAY(B$6),14,1)),SMALL(IF(ISTEXT((OFFSET(#REF!,$J$32,WEEKDAY(B$6),14,1))),ROW(C$1:C$14),""),ROW($A3))),"")</f>
        <v/>
      </c>
      <c r="C35" s="13" t="str">
        <f t="array" aca="1" ref="C35" ca="1">IFERROR(INDEX((OFFSET(#REF!,$J$32,WEEKDAY(C$6),14,1)),SMALL(IF(ISTEXT((OFFSET(#REF!,$J$32,WEEKDAY(C$6),14,1))),ROW(D$1:D$14),""),ROW($A3))),"")</f>
        <v/>
      </c>
      <c r="D35" s="13" t="str">
        <f t="array" aca="1" ref="D35" ca="1">IFERROR(INDEX((OFFSET(#REF!,$J$32,WEEKDAY(D$6),14,1)),SMALL(IF(ISTEXT((OFFSET(#REF!,$J$32,WEEKDAY(D$6),14,1))),ROW(E$1:E$14),""),ROW($A3))),"")</f>
        <v/>
      </c>
      <c r="E35" s="13" t="str">
        <f t="array" aca="1" ref="E35" ca="1">IFERROR(INDEX((OFFSET(#REF!,$J$32,WEEKDAY(E$6),14,1)),SMALL(IF(ISTEXT((OFFSET(#REF!,$J$32,WEEKDAY(E$6),14,1))),ROW(F$1:F$14),""),ROW($A3))),"")</f>
        <v/>
      </c>
      <c r="F35" s="20" t="str">
        <f t="array" aca="1" ref="F35" ca="1">IFERROR(INDEX((OFFSET(#REF!,$J$32,WEEKDAY(F$6),14,1)),SMALL(IF(ISTEXT((OFFSET(#REF!,$J$32,WEEKDAY(F$6),14,1))),ROW(G$1:G$14),""),ROW($A3))),"")</f>
        <v/>
      </c>
      <c r="G35" s="20" t="str">
        <f t="array" aca="1" ref="G35" ca="1">IFERROR(INDEX((OFFSET(#REF!,$J$32,WEEKDAY(G$6),14,1)),SMALL(IF(ISTEXT((OFFSET(#REF!,$J$32,WEEKDAY(G$6),14,1))),ROW(H$1:H$14),""),ROW($A3))),"")</f>
        <v/>
      </c>
    </row>
    <row r="36" spans="1:17" ht="14.65" customHeight="1" x14ac:dyDescent="0.25">
      <c r="A36" s="13"/>
      <c r="B36" s="13"/>
      <c r="C36" s="13"/>
      <c r="D36" s="13"/>
      <c r="E36" s="13"/>
      <c r="F36" s="13"/>
      <c r="G36" s="13"/>
    </row>
    <row r="37" spans="1:17" ht="14.65" customHeight="1" x14ac:dyDescent="0.25">
      <c r="A37" s="21">
        <f t="array" ref="A37:G37">DaysandWeeks+DATE(CalendarYear,MonthStart,1)-WEEKDAY(DATE(CalendarYear,MonthStart,1),1)+I37</f>
        <v>44388</v>
      </c>
      <c r="B37" s="21">
        <v>44389</v>
      </c>
      <c r="C37" s="21">
        <v>44390</v>
      </c>
      <c r="D37" s="21">
        <v>44391</v>
      </c>
      <c r="E37" s="21">
        <v>44392</v>
      </c>
      <c r="F37" s="21">
        <v>44393</v>
      </c>
      <c r="G37" s="21">
        <v>44394</v>
      </c>
      <c r="I37">
        <f t="shared" ref="I37" si="5">I32+7</f>
        <v>43</v>
      </c>
      <c r="J37" t="e">
        <f ca="1">MATCH(A37,OFFSET(#REF!,1,COLUMN(A37),286,1))</f>
        <v>#REF!</v>
      </c>
      <c r="K37" s="5"/>
      <c r="L37" s="5"/>
      <c r="M37" s="5"/>
      <c r="N37" s="5"/>
      <c r="O37" s="5"/>
      <c r="P37" s="5"/>
      <c r="Q37" s="5"/>
    </row>
    <row r="38" spans="1:17" x14ac:dyDescent="0.25">
      <c r="A38" s="20" t="str">
        <f t="array" aca="1" ref="A38" ca="1">IFERROR(INDEX((OFFSET(#REF!,$J$37,WEEKDAY(A$6),14,1)),SMALL(IF(ISTEXT((OFFSET(#REF!,$J$37,WEEKDAY(A$6),14,1))),ROW(B$1:B$14),""),ROW($A1))),"")</f>
        <v/>
      </c>
      <c r="B38" s="20" t="str">
        <f t="array" aca="1" ref="B38" ca="1">IFERROR(INDEX((OFFSET(#REF!,$J$37,WEEKDAY(B$6),14,1)),SMALL(IF(ISTEXT((OFFSET(#REF!,$J$37,WEEKDAY(B$6),14,1))),ROW(C$1:C$14),""),ROW($A1))),"")</f>
        <v/>
      </c>
      <c r="C38" s="20" t="str">
        <f t="array" aca="1" ref="C38" ca="1">IFERROR(INDEX((OFFSET(#REF!,$J$37,WEEKDAY(C$6),14,1)),SMALL(IF(ISTEXT((OFFSET(#REF!,$J$37,WEEKDAY(C$6),14,1))),ROW(D$1:D$14),""),ROW($A1))),"")</f>
        <v/>
      </c>
      <c r="D38" s="20" t="str">
        <f t="array" aca="1" ref="D38" ca="1">IFERROR(INDEX((OFFSET(#REF!,$J$37,WEEKDAY(D$6),14,1)),SMALL(IF(ISTEXT((OFFSET(#REF!,$J$37,WEEKDAY(D$6),14,1))),ROW(E$1:E$14),""),ROW($A1))),"")</f>
        <v/>
      </c>
      <c r="E38" s="20" t="str">
        <f t="array" aca="1" ref="E38" ca="1">IFERROR(INDEX((OFFSET(#REF!,$J$37,WEEKDAY(E$6),14,1)),SMALL(IF(ISTEXT((OFFSET(#REF!,$J$37,WEEKDAY(E$6),14,1))),ROW(F$1:F$14),""),ROW($A1))),"")</f>
        <v/>
      </c>
      <c r="F38" s="20" t="str">
        <f t="array" aca="1" ref="F38" ca="1">IFERROR(INDEX((OFFSET(#REF!,$J$37,WEEKDAY(F$6),14,1)),SMALL(IF(ISTEXT((OFFSET(#REF!,$J$37,WEEKDAY(F$6),14,1))),ROW(G$1:G$14),""),ROW($A1))),"")</f>
        <v/>
      </c>
      <c r="G38" s="20" t="str">
        <f t="array" aca="1" ref="G38" ca="1">IFERROR(INDEX((OFFSET(#REF!,$J$37,WEEKDAY(G$6),14,1)),SMALL(IF(ISTEXT((OFFSET(#REF!,$J$37,WEEKDAY(G$6),14,1))),ROW(H$1:H$14),""),ROW($A1))),"")</f>
        <v/>
      </c>
    </row>
    <row r="39" spans="1:17" x14ac:dyDescent="0.25">
      <c r="A39" s="20" t="str">
        <f t="array" aca="1" ref="A39" ca="1">IFERROR(INDEX((OFFSET(#REF!,$J$37,WEEKDAY(A$6),14,1)),SMALL(IF(ISTEXT((OFFSET(#REF!,$J$37,WEEKDAY(A$6),14,1))),ROW(B$1:B$14),""),ROW($A2))),"")</f>
        <v/>
      </c>
      <c r="B39" s="20" t="str">
        <f t="array" aca="1" ref="B39" ca="1">IFERROR(INDEX((OFFSET(#REF!,$J$37,WEEKDAY(B$6),14,1)),SMALL(IF(ISTEXT((OFFSET(#REF!,$J$37,WEEKDAY(B$6),14,1))),ROW(C$1:C$14),""),ROW($A2))),"")</f>
        <v/>
      </c>
      <c r="C39" s="20" t="str">
        <f t="array" aca="1" ref="C39" ca="1">IFERROR(INDEX((OFFSET(#REF!,$J$37,WEEKDAY(C$6),14,1)),SMALL(IF(ISTEXT((OFFSET(#REF!,$J$37,WEEKDAY(C$6),14,1))),ROW(D$1:D$14),""),ROW($A2))),"")</f>
        <v/>
      </c>
      <c r="D39" s="20" t="str">
        <f t="array" aca="1" ref="D39" ca="1">IFERROR(INDEX((OFFSET(#REF!,$J$37,WEEKDAY(D$6),14,1)),SMALL(IF(ISTEXT((OFFSET(#REF!,$J$37,WEEKDAY(D$6),14,1))),ROW(E$1:E$14),""),ROW($A2))),"")</f>
        <v/>
      </c>
      <c r="E39" s="20" t="str">
        <f t="array" aca="1" ref="E39" ca="1">IFERROR(INDEX((OFFSET(#REF!,$J$37,WEEKDAY(E$6),14,1)),SMALL(IF(ISTEXT((OFFSET(#REF!,$J$37,WEEKDAY(E$6),14,1))),ROW(F$1:F$14),""),ROW($A2))),"")</f>
        <v/>
      </c>
      <c r="F39" s="20" t="str">
        <f t="array" aca="1" ref="F39" ca="1">IFERROR(INDEX((OFFSET(#REF!,$J$37,WEEKDAY(F$6),14,1)),SMALL(IF(ISTEXT((OFFSET(#REF!,$J$37,WEEKDAY(F$6),14,1))),ROW(G$1:G$14),""),ROW($A2))),"")</f>
        <v/>
      </c>
      <c r="G39" s="20" t="str">
        <f t="array" aca="1" ref="G39" ca="1">IFERROR(INDEX((OFFSET(#REF!,$J$37,WEEKDAY(G$6),14,1)),SMALL(IF(ISTEXT((OFFSET(#REF!,$J$37,WEEKDAY(G$6),14,1))),ROW(H$1:H$14),""),ROW($A2))),"")</f>
        <v/>
      </c>
    </row>
    <row r="40" spans="1:17" x14ac:dyDescent="0.25">
      <c r="A40" s="20" t="str">
        <f t="array" aca="1" ref="A40" ca="1">IFERROR(INDEX((OFFSET(#REF!,$J$37,WEEKDAY(A$6),14,1)),SMALL(IF(ISTEXT((OFFSET(#REF!,$J$37,WEEKDAY(A$6),14,1))),ROW(B$1:B$14),""),ROW($A3))),"")</f>
        <v/>
      </c>
      <c r="B40" s="20" t="str">
        <f t="array" aca="1" ref="B40" ca="1">IFERROR(INDEX((OFFSET(#REF!,$J$37,WEEKDAY(B$6),14,1)),SMALL(IF(ISTEXT((OFFSET(#REF!,$J$37,WEEKDAY(B$6),14,1))),ROW(C$1:C$14),""),ROW($A3))),"")</f>
        <v/>
      </c>
      <c r="C40" s="13" t="str">
        <f t="array" aca="1" ref="C40" ca="1">IFERROR(INDEX((OFFSET(#REF!,$J$37,WEEKDAY(C$6),14,1)),SMALL(IF(ISTEXT((OFFSET(#REF!,$J$37,WEEKDAY(C$6),14,1))),ROW(D$1:D$14),""),ROW($A3))),"")</f>
        <v/>
      </c>
      <c r="D40" s="13" t="str">
        <f t="array" aca="1" ref="D40" ca="1">IFERROR(INDEX((OFFSET(#REF!,$J$37,WEEKDAY(D$6),14,1)),SMALL(IF(ISTEXT((OFFSET(#REF!,$J$37,WEEKDAY(D$6),14,1))),ROW(E$1:E$14),""),ROW($A3))),"")</f>
        <v/>
      </c>
      <c r="E40" s="13" t="str">
        <f t="array" aca="1" ref="E40" ca="1">IFERROR(INDEX((OFFSET(#REF!,$J$37,WEEKDAY(E$6),14,1)),SMALL(IF(ISTEXT((OFFSET(#REF!,$J$37,WEEKDAY(E$6),14,1))),ROW(F$1:F$14),""),ROW($A3))),"")</f>
        <v/>
      </c>
      <c r="F40" s="20" t="str">
        <f t="array" aca="1" ref="F40" ca="1">IFERROR(INDEX((OFFSET(#REF!,$J$37,WEEKDAY(F$6),14,1)),SMALL(IF(ISTEXT((OFFSET(#REF!,$J$37,WEEKDAY(F$6),14,1))),ROW(G$1:G$14),""),ROW($A3))),"")</f>
        <v/>
      </c>
      <c r="G40" s="20" t="str">
        <f t="array" aca="1" ref="G40" ca="1">IFERROR(INDEX((OFFSET(#REF!,$J$37,WEEKDAY(G$6),14,1)),SMALL(IF(ISTEXT((OFFSET(#REF!,$J$37,WEEKDAY(G$6),14,1))),ROW(H$1:H$14),""),ROW($A3))),"")</f>
        <v/>
      </c>
    </row>
    <row r="41" spans="1:17" x14ac:dyDescent="0.25">
      <c r="A41" s="13"/>
      <c r="B41" s="13"/>
      <c r="C41" s="13"/>
      <c r="D41" s="13"/>
      <c r="E41" s="13"/>
      <c r="F41" s="13"/>
      <c r="G41" s="13"/>
    </row>
    <row r="42" spans="1:17" x14ac:dyDescent="0.25">
      <c r="A42" s="21">
        <f t="array" ref="A42:G42">DaysandWeeks+DATE(CalendarYear,MonthStart,1)-WEEKDAY(DATE(CalendarYear,MonthStart,1),1)+I42</f>
        <v>44395</v>
      </c>
      <c r="B42" s="21">
        <v>44396</v>
      </c>
      <c r="C42" s="21">
        <v>44397</v>
      </c>
      <c r="D42" s="21">
        <v>44398</v>
      </c>
      <c r="E42" s="21">
        <v>44399</v>
      </c>
      <c r="F42" s="21">
        <v>44400</v>
      </c>
      <c r="G42" s="21">
        <v>44401</v>
      </c>
      <c r="I42">
        <f t="shared" ref="I42:I92" si="6">I37+7</f>
        <v>50</v>
      </c>
      <c r="J42" t="e">
        <f ca="1">MATCH(A42,OFFSET(#REF!,1,COLUMN(A42),286,1))</f>
        <v>#REF!</v>
      </c>
      <c r="K42" s="5"/>
      <c r="L42" s="5"/>
      <c r="M42" s="5"/>
      <c r="N42" s="5"/>
      <c r="O42" s="5"/>
      <c r="P42" s="5"/>
      <c r="Q42" s="5"/>
    </row>
    <row r="43" spans="1:17" x14ac:dyDescent="0.25">
      <c r="A43" s="20" t="str">
        <f t="array" aca="1" ref="A43" ca="1">IFERROR(INDEX((OFFSET(#REF!,$J$42,WEEKDAY(A$6),14,1)),SMALL(IF(ISTEXT((OFFSET(#REF!,$J$42,WEEKDAY(A$6),14,1))),ROW(B$1:B$14),""),ROW($A1))),"")</f>
        <v/>
      </c>
      <c r="B43" s="20" t="str">
        <f t="array" aca="1" ref="B43" ca="1">IFERROR(INDEX((OFFSET(#REF!,$J$42,WEEKDAY(B$6),14,1)),SMALL(IF(ISTEXT((OFFSET(#REF!,$J$42,WEEKDAY(B$6),14,1))),ROW(C$1:C$14),""),ROW($A1))),"")</f>
        <v/>
      </c>
      <c r="C43" s="20" t="str">
        <f t="array" aca="1" ref="C43" ca="1">IFERROR(INDEX((OFFSET(#REF!,$J$42,WEEKDAY(C$6),14,1)),SMALL(IF(ISTEXT((OFFSET(#REF!,$J$42,WEEKDAY(C$6),14,1))),ROW(D$1:D$14),""),ROW($A1))),"")</f>
        <v/>
      </c>
      <c r="D43" s="20" t="str">
        <f t="array" aca="1" ref="D43" ca="1">IFERROR(INDEX((OFFSET(#REF!,$J$42,WEEKDAY(D$6),14,1)),SMALL(IF(ISTEXT((OFFSET(#REF!,$J$42,WEEKDAY(D$6),14,1))),ROW(E$1:E$14),""),ROW($A1))),"")</f>
        <v/>
      </c>
      <c r="E43" s="20" t="str">
        <f t="array" aca="1" ref="E43" ca="1">IFERROR(INDEX((OFFSET(#REF!,$J$42,WEEKDAY(E$6),14,1)),SMALL(IF(ISTEXT((OFFSET(#REF!,$J$42,WEEKDAY(E$6),14,1))),ROW(F$1:F$14),""),ROW($A1))),"")</f>
        <v/>
      </c>
      <c r="F43" s="20" t="str">
        <f t="array" aca="1" ref="F43" ca="1">IFERROR(INDEX((OFFSET(#REF!,$J$42,WEEKDAY(F$6),14,1)),SMALL(IF(ISTEXT((OFFSET(#REF!,$J$42,WEEKDAY(F$6),14,1))),ROW(G$1:G$14),""),ROW($A1))),"")</f>
        <v/>
      </c>
      <c r="G43" s="20" t="str">
        <f t="array" aca="1" ref="G43" ca="1">IFERROR(INDEX((OFFSET(#REF!,$J$42,WEEKDAY(G$6),14,1)),SMALL(IF(ISTEXT((OFFSET(#REF!,$J$42,WEEKDAY(G$6),14,1))),ROW(H$1:H$14),""),ROW($A1))),"")</f>
        <v/>
      </c>
    </row>
    <row r="44" spans="1:17" x14ac:dyDescent="0.25">
      <c r="A44" s="20" t="str">
        <f t="array" aca="1" ref="A44" ca="1">IFERROR(INDEX((OFFSET(#REF!,$J$42,WEEKDAY(A$6),14,1)),SMALL(IF(ISTEXT((OFFSET(#REF!,$J$42,WEEKDAY(A$6),14,1))),ROW(B$1:B$14),""),ROW($A2))),"")</f>
        <v/>
      </c>
      <c r="B44" s="20" t="str">
        <f t="array" aca="1" ref="B44" ca="1">IFERROR(INDEX((OFFSET(#REF!,$J$42,WEEKDAY(B$6),14,1)),SMALL(IF(ISTEXT((OFFSET(#REF!,$J$42,WEEKDAY(B$6),14,1))),ROW(C$1:C$14),""),ROW($A2))),"")</f>
        <v/>
      </c>
      <c r="C44" s="20" t="str">
        <f t="array" aca="1" ref="C44" ca="1">IFERROR(INDEX((OFFSET(#REF!,$J$42,WEEKDAY(C$6),14,1)),SMALL(IF(ISTEXT((OFFSET(#REF!,$J$42,WEEKDAY(C$6),14,1))),ROW(D$1:D$14),""),ROW($A2))),"")</f>
        <v/>
      </c>
      <c r="D44" s="20" t="str">
        <f t="array" aca="1" ref="D44" ca="1">IFERROR(INDEX((OFFSET(#REF!,$J$42,WEEKDAY(D$6),14,1)),SMALL(IF(ISTEXT((OFFSET(#REF!,$J$42,WEEKDAY(D$6),14,1))),ROW(E$1:E$14),""),ROW($A2))),"")</f>
        <v/>
      </c>
      <c r="E44" s="20" t="str">
        <f t="array" aca="1" ref="E44" ca="1">IFERROR(INDEX((OFFSET(#REF!,$J$42,WEEKDAY(E$6),14,1)),SMALL(IF(ISTEXT((OFFSET(#REF!,$J$42,WEEKDAY(E$6),14,1))),ROW(F$1:F$14),""),ROW($A2))),"")</f>
        <v/>
      </c>
      <c r="F44" s="20" t="str">
        <f t="array" aca="1" ref="F44" ca="1">IFERROR(INDEX((OFFSET(#REF!,$J$42,WEEKDAY(F$6),14,1)),SMALL(IF(ISTEXT((OFFSET(#REF!,$J$42,WEEKDAY(F$6),14,1))),ROW(G$1:G$14),""),ROW($A2))),"")</f>
        <v/>
      </c>
      <c r="G44" s="20" t="str">
        <f t="array" aca="1" ref="G44" ca="1">IFERROR(INDEX((OFFSET(#REF!,$J$42,WEEKDAY(G$6),14,1)),SMALL(IF(ISTEXT((OFFSET(#REF!,$J$42,WEEKDAY(G$6),14,1))),ROW(H$1:H$14),""),ROW($A2))),"")</f>
        <v/>
      </c>
    </row>
    <row r="45" spans="1:17" x14ac:dyDescent="0.25">
      <c r="A45" s="20" t="str">
        <f t="array" aca="1" ref="A45" ca="1">IFERROR(INDEX((OFFSET(#REF!,$J$42,WEEKDAY(A$6),14,1)),SMALL(IF(ISTEXT((OFFSET(#REF!,$J$42,WEEKDAY(A$6),14,1))),ROW(B$1:B$14),""),ROW($A3))),"")</f>
        <v/>
      </c>
      <c r="B45" s="20" t="str">
        <f t="array" aca="1" ref="B45" ca="1">IFERROR(INDEX((OFFSET(#REF!,$J$42,WEEKDAY(B$6),14,1)),SMALL(IF(ISTEXT((OFFSET(#REF!,$J$42,WEEKDAY(B$6),14,1))),ROW(C$1:C$14),""),ROW($A3))),"")</f>
        <v/>
      </c>
      <c r="C45" s="13" t="str">
        <f t="array" aca="1" ref="C45" ca="1">IFERROR(INDEX((OFFSET(#REF!,$J$42,WEEKDAY(C$6),14,1)),SMALL(IF(ISTEXT((OFFSET(#REF!,$J$42,WEEKDAY(C$6),14,1))),ROW(D$1:D$14),""),ROW($A3))),"")</f>
        <v/>
      </c>
      <c r="D45" s="13" t="str">
        <f t="array" aca="1" ref="D45" ca="1">IFERROR(INDEX((OFFSET(#REF!,$J$42,WEEKDAY(D$6),14,1)),SMALL(IF(ISTEXT((OFFSET(#REF!,$J$42,WEEKDAY(D$6),14,1))),ROW(E$1:E$14),""),ROW($A3))),"")</f>
        <v/>
      </c>
      <c r="E45" s="13" t="str">
        <f t="array" aca="1" ref="E45" ca="1">IFERROR(INDEX((OFFSET(#REF!,$J$42,WEEKDAY(E$6),14,1)),SMALL(IF(ISTEXT((OFFSET(#REF!,$J$42,WEEKDAY(E$6),14,1))),ROW(F$1:F$14),""),ROW($A3))),"")</f>
        <v/>
      </c>
      <c r="F45" s="20" t="str">
        <f t="array" aca="1" ref="F45" ca="1">IFERROR(INDEX((OFFSET(#REF!,$J$42,WEEKDAY(F$6),14,1)),SMALL(IF(ISTEXT((OFFSET(#REF!,$J$42,WEEKDAY(F$6),14,1))),ROW(G$1:G$14),""),ROW($A3))),"")</f>
        <v/>
      </c>
      <c r="G45" s="20" t="str">
        <f t="array" aca="1" ref="G45" ca="1">IFERROR(INDEX((OFFSET(#REF!,$J$42,WEEKDAY(G$6),14,1)),SMALL(IF(ISTEXT((OFFSET(#REF!,$J$42,WEEKDAY(G$6),14,1))),ROW(H$1:H$14),""),ROW($A3))),"")</f>
        <v/>
      </c>
    </row>
    <row r="46" spans="1:17" x14ac:dyDescent="0.25">
      <c r="A46" s="13"/>
      <c r="B46" s="13"/>
      <c r="C46" s="13"/>
      <c r="D46" s="13"/>
      <c r="E46" s="13"/>
      <c r="F46" s="13"/>
      <c r="G46" s="13"/>
    </row>
    <row r="47" spans="1:17" x14ac:dyDescent="0.25">
      <c r="A47" s="21">
        <f t="array" ref="A47:G47">DaysandWeeks+DATE(CalendarYear,MonthStart,1)-WEEKDAY(DATE(CalendarYear,MonthStart,1),1)+I47</f>
        <v>44402</v>
      </c>
      <c r="B47" s="21">
        <v>44403</v>
      </c>
      <c r="C47" s="21">
        <v>44404</v>
      </c>
      <c r="D47" s="21">
        <v>44405</v>
      </c>
      <c r="E47" s="21">
        <v>44406</v>
      </c>
      <c r="F47" s="21">
        <v>44407</v>
      </c>
      <c r="G47" s="21">
        <v>44408</v>
      </c>
      <c r="I47">
        <f t="shared" si="6"/>
        <v>57</v>
      </c>
      <c r="J47" t="e">
        <f ca="1">MATCH(A47,OFFSET(#REF!,1,COLUMN(A47),286,1))</f>
        <v>#REF!</v>
      </c>
    </row>
    <row r="48" spans="1:17" x14ac:dyDescent="0.25">
      <c r="A48" s="20" t="str">
        <f t="array" aca="1" ref="A48" ca="1">IFERROR(INDEX((OFFSET(#REF!,$J$47,WEEKDAY(A$6),14,1)),SMALL(IF(ISTEXT((OFFSET(#REF!,$J$47,WEEKDAY(A$6),14,1))),ROW(B$1:B$14),""),ROW($A1))),"")</f>
        <v/>
      </c>
      <c r="B48" s="20" t="str">
        <f t="array" aca="1" ref="B48" ca="1">IFERROR(INDEX((OFFSET(#REF!,$J$47,WEEKDAY(B$6),14,1)),SMALL(IF(ISTEXT((OFFSET(#REF!,$J$47,WEEKDAY(B$6),14,1))),ROW(C$1:C$14),""),ROW($A1))),"")</f>
        <v/>
      </c>
      <c r="C48" s="20" t="str">
        <f t="array" aca="1" ref="C48" ca="1">IFERROR(INDEX((OFFSET(#REF!,$J$47,WEEKDAY(C$6),14,1)),SMALL(IF(ISTEXT((OFFSET(#REF!,$J$47,WEEKDAY(C$6),14,1))),ROW(D$1:D$14),""),ROW($A1))),"")</f>
        <v/>
      </c>
      <c r="D48" s="20" t="str">
        <f t="array" aca="1" ref="D48" ca="1">IFERROR(INDEX((OFFSET(#REF!,$J$47,WEEKDAY(D$6),14,1)),SMALL(IF(ISTEXT((OFFSET(#REF!,$J$47,WEEKDAY(D$6),14,1))),ROW(E$1:E$14),""),ROW($A1))),"")</f>
        <v/>
      </c>
      <c r="E48" s="20" t="str">
        <f t="array" aca="1" ref="E48" ca="1">IFERROR(INDEX((OFFSET(#REF!,$J$47,WEEKDAY(E$6),14,1)),SMALL(IF(ISTEXT((OFFSET(#REF!,$J$47,WEEKDAY(E$6),14,1))),ROW(F$1:F$14),""),ROW($A1))),"")</f>
        <v/>
      </c>
      <c r="F48" s="20" t="str">
        <f t="array" aca="1" ref="F48" ca="1">IFERROR(INDEX((OFFSET(#REF!,$J$47,WEEKDAY(F$6),14,1)),SMALL(IF(ISTEXT((OFFSET(#REF!,$J$47,WEEKDAY(F$6),14,1))),ROW(G$1:G$14),""),ROW($A1))),"")</f>
        <v/>
      </c>
      <c r="G48" s="20" t="str">
        <f t="array" aca="1" ref="G48" ca="1">IFERROR(INDEX((OFFSET(#REF!,$J$47,WEEKDAY(G$6),14,1)),SMALL(IF(ISTEXT((OFFSET(#REF!,$J$47,WEEKDAY(G$6),14,1))),ROW(H$1:H$14),""),ROW($A1))),"")</f>
        <v/>
      </c>
    </row>
    <row r="49" spans="1:10" x14ac:dyDescent="0.25">
      <c r="A49" s="20" t="str">
        <f t="array" aca="1" ref="A49" ca="1">IFERROR(INDEX((OFFSET(#REF!,$J$47,WEEKDAY(A$6),14,1)),SMALL(IF(ISTEXT((OFFSET(#REF!,$J$47,WEEKDAY(A$6),14,1))),ROW(B$1:B$14),""),ROW($A2))),"")</f>
        <v/>
      </c>
      <c r="B49" s="20" t="str">
        <f t="array" aca="1" ref="B49" ca="1">IFERROR(INDEX((OFFSET(#REF!,$J$47,WEEKDAY(B$6),14,1)),SMALL(IF(ISTEXT((OFFSET(#REF!,$J$47,WEEKDAY(B$6),14,1))),ROW(C$1:C$14),""),ROW($A2))),"")</f>
        <v/>
      </c>
      <c r="C49" s="20" t="str">
        <f t="array" aca="1" ref="C49" ca="1">IFERROR(INDEX((OFFSET(#REF!,$J$47,WEEKDAY(C$6),14,1)),SMALL(IF(ISTEXT((OFFSET(#REF!,$J$47,WEEKDAY(C$6),14,1))),ROW(D$1:D$14),""),ROW($A2))),"")</f>
        <v/>
      </c>
      <c r="D49" s="20" t="str">
        <f t="array" aca="1" ref="D49" ca="1">IFERROR(INDEX((OFFSET(#REF!,$J$47,WEEKDAY(D$6),14,1)),SMALL(IF(ISTEXT((OFFSET(#REF!,$J$47,WEEKDAY(D$6),14,1))),ROW(E$1:E$14),""),ROW($A2))),"")</f>
        <v/>
      </c>
      <c r="E49" s="20" t="str">
        <f t="array" aca="1" ref="E49" ca="1">IFERROR(INDEX((OFFSET(#REF!,$J$47,WEEKDAY(E$6),14,1)),SMALL(IF(ISTEXT((OFFSET(#REF!,$J$47,WEEKDAY(E$6),14,1))),ROW(F$1:F$14),""),ROW($A2))),"")</f>
        <v/>
      </c>
      <c r="F49" s="20" t="str">
        <f t="array" aca="1" ref="F49" ca="1">IFERROR(INDEX((OFFSET(#REF!,$J$47,WEEKDAY(F$6),14,1)),SMALL(IF(ISTEXT((OFFSET(#REF!,$J$47,WEEKDAY(F$6),14,1))),ROW(G$1:G$14),""),ROW($A2))),"")</f>
        <v/>
      </c>
      <c r="G49" s="20" t="str">
        <f t="array" aca="1" ref="G49" ca="1">IFERROR(INDEX((OFFSET(#REF!,$J$47,WEEKDAY(G$6),14,1)),SMALL(IF(ISTEXT((OFFSET(#REF!,$J$47,WEEKDAY(G$6),14,1))),ROW(H$1:H$14),""),ROW($A2))),"")</f>
        <v/>
      </c>
    </row>
    <row r="50" spans="1:10" x14ac:dyDescent="0.25">
      <c r="A50" s="20" t="str">
        <f t="array" aca="1" ref="A50" ca="1">IFERROR(INDEX((OFFSET(#REF!,$J$47,WEEKDAY(A$6),14,1)),SMALL(IF(ISTEXT((OFFSET(#REF!,$J$47,WEEKDAY(A$6),14,1))),ROW(B$1:B$14),""),ROW($A3))),"")</f>
        <v/>
      </c>
      <c r="B50" s="20" t="str">
        <f t="array" aca="1" ref="B50" ca="1">IFERROR(INDEX((OFFSET(#REF!,$J$47,WEEKDAY(B$6),14,1)),SMALL(IF(ISTEXT((OFFSET(#REF!,$J$47,WEEKDAY(B$6),14,1))),ROW(C$1:C$14),""),ROW($A3))),"")</f>
        <v/>
      </c>
      <c r="C50" s="13" t="str">
        <f t="array" aca="1" ref="C50" ca="1">IFERROR(INDEX((OFFSET(#REF!,$J$47,WEEKDAY(C$6),14,1)),SMALL(IF(ISTEXT((OFFSET(#REF!,$J$47,WEEKDAY(C$6),14,1))),ROW(D$1:D$14),""),ROW($A3))),"")</f>
        <v/>
      </c>
      <c r="D50" s="13" t="str">
        <f t="array" aca="1" ref="D50" ca="1">IFERROR(INDEX((OFFSET(#REF!,$J$47,WEEKDAY(D$6),14,1)),SMALL(IF(ISTEXT((OFFSET(#REF!,$J$47,WEEKDAY(D$6),14,1))),ROW(E$1:E$14),""),ROW($A3))),"")</f>
        <v/>
      </c>
      <c r="E50" s="13" t="str">
        <f t="array" aca="1" ref="E50" ca="1">IFERROR(INDEX((OFFSET(#REF!,$J$47,WEEKDAY(E$6),14,1)),SMALL(IF(ISTEXT((OFFSET(#REF!,$J$47,WEEKDAY(E$6),14,1))),ROW(F$1:F$14),""),ROW($A3))),"")</f>
        <v/>
      </c>
      <c r="F50" s="20" t="str">
        <f t="array" aca="1" ref="F50" ca="1">IFERROR(INDEX((OFFSET(#REF!,$J$47,WEEKDAY(F$6),14,1)),SMALL(IF(ISTEXT((OFFSET(#REF!,$J$47,WEEKDAY(F$6),14,1))),ROW(G$1:G$14),""),ROW($A3))),"")</f>
        <v/>
      </c>
      <c r="G50" s="20" t="str">
        <f t="array" aca="1" ref="G50" ca="1">IFERROR(INDEX((OFFSET(#REF!,$J$47,WEEKDAY(G$6),14,1)),SMALL(IF(ISTEXT((OFFSET(#REF!,$J$47,WEEKDAY(G$6),14,1))),ROW(H$1:H$14),""),ROW($A3))),"")</f>
        <v/>
      </c>
    </row>
    <row r="51" spans="1:10" x14ac:dyDescent="0.25">
      <c r="A51" s="13"/>
      <c r="B51" s="13"/>
      <c r="C51" s="13"/>
      <c r="D51" s="13"/>
      <c r="E51" s="13"/>
      <c r="F51" s="13"/>
      <c r="G51" s="13"/>
    </row>
    <row r="52" spans="1:10" x14ac:dyDescent="0.25">
      <c r="A52" s="21">
        <f t="array" ref="A52:G52">DaysandWeeks+DATE(CalendarYear,MonthStart,1)-WEEKDAY(DATE(CalendarYear,MonthStart,1),1)+I52</f>
        <v>44409</v>
      </c>
      <c r="B52" s="21">
        <v>44410</v>
      </c>
      <c r="C52" s="21">
        <v>44411</v>
      </c>
      <c r="D52" s="21">
        <v>44412</v>
      </c>
      <c r="E52" s="21">
        <v>44413</v>
      </c>
      <c r="F52" s="21">
        <v>44414</v>
      </c>
      <c r="G52" s="21">
        <v>44415</v>
      </c>
      <c r="I52">
        <f t="shared" si="6"/>
        <v>64</v>
      </c>
      <c r="J52" t="e">
        <f ca="1">MATCH(A52,OFFSET(#REF!,1,COLUMN(A52),286,1))</f>
        <v>#REF!</v>
      </c>
    </row>
    <row r="53" spans="1:10" x14ac:dyDescent="0.25">
      <c r="A53" s="20" t="str">
        <f t="array" aca="1" ref="A53" ca="1">IFERROR(INDEX((OFFSET(#REF!,$J$52,WEEKDAY(A$6),14,1)),SMALL(IF(ISTEXT((OFFSET(#REF!,$J$52,WEEKDAY(A$6),14,1))),ROW(B$1:B$14),""),ROW($A1))),"")</f>
        <v/>
      </c>
      <c r="B53" s="20" t="str">
        <f t="array" aca="1" ref="B53" ca="1">IFERROR(INDEX((OFFSET(#REF!,$J$52,WEEKDAY(B$6),14,1)),SMALL(IF(ISTEXT((OFFSET(#REF!,$J$52,WEEKDAY(B$6),14,1))),ROW(C$1:C$14),""),ROW($A1))),"")</f>
        <v/>
      </c>
      <c r="C53" s="20" t="str">
        <f t="array" aca="1" ref="C53" ca="1">IFERROR(INDEX((OFFSET(#REF!,$J$52,WEEKDAY(C$6),14,1)),SMALL(IF(ISTEXT((OFFSET(#REF!,$J$52,WEEKDAY(C$6),14,1))),ROW(D$1:D$14),""),ROW($A1))),"")</f>
        <v/>
      </c>
      <c r="D53" s="20" t="str">
        <f t="array" aca="1" ref="D53" ca="1">IFERROR(INDEX((OFFSET(#REF!,$J$52,WEEKDAY(D$6),14,1)),SMALL(IF(ISTEXT((OFFSET(#REF!,$J$52,WEEKDAY(D$6),14,1))),ROW(E$1:E$14),""),ROW($A1))),"")</f>
        <v/>
      </c>
      <c r="E53" s="20" t="str">
        <f t="array" aca="1" ref="E53" ca="1">IFERROR(INDEX((OFFSET(#REF!,$J$52,WEEKDAY(E$6),14,1)),SMALL(IF(ISTEXT((OFFSET(#REF!,$J$52,WEEKDAY(E$6),14,1))),ROW(F$1:F$14),""),ROW($A1))),"")</f>
        <v/>
      </c>
      <c r="F53" s="20" t="str">
        <f t="array" aca="1" ref="F53" ca="1">IFERROR(INDEX((OFFSET(#REF!,$J$52,WEEKDAY(F$6),14,1)),SMALL(IF(ISTEXT((OFFSET(#REF!,$J$52,WEEKDAY(F$6),14,1))),ROW(G$1:G$14),""),ROW($A1))),"")</f>
        <v/>
      </c>
      <c r="G53" s="20" t="str">
        <f t="array" aca="1" ref="G53" ca="1">IFERROR(INDEX((OFFSET(#REF!,$J$52,WEEKDAY(G$6),14,1)),SMALL(IF(ISTEXT((OFFSET(#REF!,$J$52,WEEKDAY(G$6),14,1))),ROW(H$1:H$14),""),ROW($A1))),"")</f>
        <v/>
      </c>
    </row>
    <row r="54" spans="1:10" x14ac:dyDescent="0.25">
      <c r="A54" s="20" t="str">
        <f t="array" aca="1" ref="A54" ca="1">IFERROR(INDEX((OFFSET(#REF!,$J$52,WEEKDAY(A$6),14,1)),SMALL(IF(ISTEXT((OFFSET(#REF!,$J$52,WEEKDAY(A$6),14,1))),ROW(B$1:B$14),""),ROW($A2))),"")</f>
        <v/>
      </c>
      <c r="B54" s="20" t="str">
        <f t="array" aca="1" ref="B54" ca="1">IFERROR(INDEX((OFFSET(#REF!,$J$52,WEEKDAY(B$6),14,1)),SMALL(IF(ISTEXT((OFFSET(#REF!,$J$52,WEEKDAY(B$6),14,1))),ROW(C$1:C$14),""),ROW($A2))),"")</f>
        <v/>
      </c>
      <c r="C54" s="20" t="str">
        <f t="array" aca="1" ref="C54" ca="1">IFERROR(INDEX((OFFSET(#REF!,$J$52,WEEKDAY(C$6),14,1)),SMALL(IF(ISTEXT((OFFSET(#REF!,$J$52,WEEKDAY(C$6),14,1))),ROW(D$1:D$14),""),ROW($A2))),"")</f>
        <v/>
      </c>
      <c r="D54" s="20" t="str">
        <f t="array" aca="1" ref="D54" ca="1">IFERROR(INDEX((OFFSET(#REF!,$J$52,WEEKDAY(D$6),14,1)),SMALL(IF(ISTEXT((OFFSET(#REF!,$J$52,WEEKDAY(D$6),14,1))),ROW(E$1:E$14),""),ROW($A2))),"")</f>
        <v/>
      </c>
      <c r="E54" s="20" t="str">
        <f t="array" aca="1" ref="E54" ca="1">IFERROR(INDEX((OFFSET(#REF!,$J$52,WEEKDAY(E$6),14,1)),SMALL(IF(ISTEXT((OFFSET(#REF!,$J$52,WEEKDAY(E$6),14,1))),ROW(F$1:F$14),""),ROW($A2))),"")</f>
        <v/>
      </c>
      <c r="F54" s="20" t="str">
        <f t="array" aca="1" ref="F54" ca="1">IFERROR(INDEX((OFFSET(#REF!,$J$52,WEEKDAY(F$6),14,1)),SMALL(IF(ISTEXT((OFFSET(#REF!,$J$52,WEEKDAY(F$6),14,1))),ROW(G$1:G$14),""),ROW($A2))),"")</f>
        <v/>
      </c>
      <c r="G54" s="20" t="str">
        <f t="array" aca="1" ref="G54" ca="1">IFERROR(INDEX((OFFSET(#REF!,$J$52,WEEKDAY(G$6),14,1)),SMALL(IF(ISTEXT((OFFSET(#REF!,$J$52,WEEKDAY(G$6),14,1))),ROW(H$1:H$14),""),ROW($A2))),"")</f>
        <v/>
      </c>
    </row>
    <row r="55" spans="1:10" x14ac:dyDescent="0.25">
      <c r="A55" s="20" t="str">
        <f t="array" aca="1" ref="A55" ca="1">IFERROR(INDEX((OFFSET(#REF!,$J$52,WEEKDAY(A$6),14,1)),SMALL(IF(ISTEXT((OFFSET(#REF!,$J$52,WEEKDAY(A$6),14,1))),ROW(B$1:B$14),""),ROW($A3))),"")</f>
        <v/>
      </c>
      <c r="B55" s="20" t="str">
        <f t="array" aca="1" ref="B55" ca="1">IFERROR(INDEX((OFFSET(#REF!,$J$52,WEEKDAY(B$6),14,1)),SMALL(IF(ISTEXT((OFFSET(#REF!,$J$52,WEEKDAY(B$6),14,1))),ROW(C$1:C$14),""),ROW($A3))),"")</f>
        <v/>
      </c>
      <c r="C55" s="13" t="str">
        <f t="array" aca="1" ref="C55" ca="1">IFERROR(INDEX((OFFSET(#REF!,$J$52,WEEKDAY(C$6),14,1)),SMALL(IF(ISTEXT((OFFSET(#REF!,$J$52,WEEKDAY(C$6),14,1))),ROW(D$1:D$14),""),ROW($A3))),"")</f>
        <v/>
      </c>
      <c r="D55" s="13" t="str">
        <f t="array" aca="1" ref="D55" ca="1">IFERROR(INDEX((OFFSET(#REF!,$J$52,WEEKDAY(D$6),14,1)),SMALL(IF(ISTEXT((OFFSET(#REF!,$J$52,WEEKDAY(D$6),14,1))),ROW(E$1:E$14),""),ROW($A3))),"")</f>
        <v/>
      </c>
      <c r="E55" s="13" t="str">
        <f t="array" aca="1" ref="E55" ca="1">IFERROR(INDEX((OFFSET(#REF!,$J$52,WEEKDAY(E$6),14,1)),SMALL(IF(ISTEXT((OFFSET(#REF!,$J$52,WEEKDAY(E$6),14,1))),ROW(F$1:F$14),""),ROW($A3))),"")</f>
        <v/>
      </c>
      <c r="F55" s="20" t="str">
        <f t="array" aca="1" ref="F55" ca="1">IFERROR(INDEX((OFFSET(#REF!,$J$52,WEEKDAY(F$6),14,1)),SMALL(IF(ISTEXT((OFFSET(#REF!,$J$52,WEEKDAY(F$6),14,1))),ROW(G$1:G$14),""),ROW($A3))),"")</f>
        <v/>
      </c>
      <c r="G55" s="20" t="str">
        <f t="array" aca="1" ref="G55" ca="1">IFERROR(INDEX((OFFSET(#REF!,$J$52,WEEKDAY(G$6),14,1)),SMALL(IF(ISTEXT((OFFSET(#REF!,$J$52,WEEKDAY(G$6),14,1))),ROW(H$1:H$14),""),ROW($A3))),"")</f>
        <v/>
      </c>
    </row>
    <row r="56" spans="1:10" x14ac:dyDescent="0.25">
      <c r="A56" s="13"/>
      <c r="B56" s="13"/>
      <c r="C56" s="13"/>
      <c r="D56" s="13"/>
      <c r="E56" s="13"/>
      <c r="F56" s="13"/>
      <c r="G56" s="13"/>
    </row>
    <row r="57" spans="1:10" x14ac:dyDescent="0.25">
      <c r="A57" s="21">
        <f t="array" ref="A57:G57">DaysandWeeks+DATE(CalendarYear,MonthStart,1)-WEEKDAY(DATE(CalendarYear,MonthStart,1),1)+I57</f>
        <v>44416</v>
      </c>
      <c r="B57" s="21">
        <v>44417</v>
      </c>
      <c r="C57" s="21">
        <v>44418</v>
      </c>
      <c r="D57" s="21">
        <v>44419</v>
      </c>
      <c r="E57" s="21">
        <v>44420</v>
      </c>
      <c r="F57" s="21">
        <v>44421</v>
      </c>
      <c r="G57" s="21">
        <v>44422</v>
      </c>
      <c r="I57">
        <f t="shared" si="6"/>
        <v>71</v>
      </c>
      <c r="J57" t="e">
        <f ca="1">MATCH(A57,OFFSET(#REF!,1,COLUMN(A57),286,1))</f>
        <v>#REF!</v>
      </c>
    </row>
    <row r="58" spans="1:10" x14ac:dyDescent="0.25">
      <c r="A58" s="20" t="str">
        <f t="array" aca="1" ref="A58" ca="1">IFERROR(INDEX((OFFSET(#REF!,$J$57,WEEKDAY(A$6),14,1)),SMALL(IF(ISTEXT((OFFSET(#REF!,$J$57,WEEKDAY(A$6),14,1))),ROW(B$1:B$14),""),ROW($A1))),"")</f>
        <v/>
      </c>
      <c r="B58" s="20" t="str">
        <f t="array" aca="1" ref="B58" ca="1">IFERROR(INDEX((OFFSET(#REF!,$J$57,WEEKDAY(B$6),14,1)),SMALL(IF(ISTEXT((OFFSET(#REF!,$J$57,WEEKDAY(B$6),14,1))),ROW(C$1:C$14),""),ROW($A1))),"")</f>
        <v/>
      </c>
      <c r="C58" s="20" t="str">
        <f t="array" aca="1" ref="C58" ca="1">IFERROR(INDEX((OFFSET(#REF!,$J$57,WEEKDAY(C$6),14,1)),SMALL(IF(ISTEXT((OFFSET(#REF!,$J$57,WEEKDAY(C$6),14,1))),ROW(D$1:D$14),""),ROW($A1))),"")</f>
        <v/>
      </c>
      <c r="D58" s="20" t="str">
        <f t="array" aca="1" ref="D58" ca="1">IFERROR(INDEX((OFFSET(#REF!,$J$57,WEEKDAY(D$6),14,1)),SMALL(IF(ISTEXT((OFFSET(#REF!,$J$57,WEEKDAY(D$6),14,1))),ROW(E$1:E$14),""),ROW($A1))),"")</f>
        <v/>
      </c>
      <c r="E58" s="20" t="str">
        <f t="array" aca="1" ref="E58" ca="1">IFERROR(INDEX((OFFSET(#REF!,$J$57,WEEKDAY(E$6),14,1)),SMALL(IF(ISTEXT((OFFSET(#REF!,$J$57,WEEKDAY(E$6),14,1))),ROW(F$1:F$14),""),ROW($A1))),"")</f>
        <v/>
      </c>
      <c r="F58" s="20" t="str">
        <f t="array" aca="1" ref="F58" ca="1">IFERROR(INDEX((OFFSET(#REF!,$J$57,WEEKDAY(F$6),14,1)),SMALL(IF(ISTEXT((OFFSET(#REF!,$J$57,WEEKDAY(F$6),14,1))),ROW(G$1:G$14),""),ROW($A1))),"")</f>
        <v/>
      </c>
      <c r="G58" s="20" t="str">
        <f t="array" aca="1" ref="G58" ca="1">IFERROR(INDEX((OFFSET(#REF!,$J$57,WEEKDAY(G$6),14,1)),SMALL(IF(ISTEXT((OFFSET(#REF!,$J$57,WEEKDAY(G$6),14,1))),ROW(H$1:H$14),""),ROW($A1))),"")</f>
        <v/>
      </c>
    </row>
    <row r="59" spans="1:10" x14ac:dyDescent="0.25">
      <c r="A59" s="20" t="str">
        <f t="array" aca="1" ref="A59" ca="1">IFERROR(INDEX((OFFSET(#REF!,$J$57,WEEKDAY(A$6),14,1)),SMALL(IF(ISTEXT((OFFSET(#REF!,$J$57,WEEKDAY(A$6),14,1))),ROW(B$1:B$14),""),ROW($A2))),"")</f>
        <v/>
      </c>
      <c r="B59" s="20" t="str">
        <f t="array" aca="1" ref="B59" ca="1">IFERROR(INDEX((OFFSET(#REF!,$J$57,WEEKDAY(B$6),14,1)),SMALL(IF(ISTEXT((OFFSET(#REF!,$J$57,WEEKDAY(B$6),14,1))),ROW(C$1:C$14),""),ROW($A2))),"")</f>
        <v/>
      </c>
      <c r="C59" s="20" t="str">
        <f t="array" aca="1" ref="C59" ca="1">IFERROR(INDEX((OFFSET(#REF!,$J$57,WEEKDAY(C$6),14,1)),SMALL(IF(ISTEXT((OFFSET(#REF!,$J$57,WEEKDAY(C$6),14,1))),ROW(D$1:D$14),""),ROW($A2))),"")</f>
        <v/>
      </c>
      <c r="D59" s="20" t="str">
        <f t="array" aca="1" ref="D59" ca="1">IFERROR(INDEX((OFFSET(#REF!,$J$57,WEEKDAY(D$6),14,1)),SMALL(IF(ISTEXT((OFFSET(#REF!,$J$57,WEEKDAY(D$6),14,1))),ROW(E$1:E$14),""),ROW($A2))),"")</f>
        <v/>
      </c>
      <c r="E59" s="20" t="str">
        <f t="array" aca="1" ref="E59" ca="1">IFERROR(INDEX((OFFSET(#REF!,$J$57,WEEKDAY(E$6),14,1)),SMALL(IF(ISTEXT((OFFSET(#REF!,$J$57,WEEKDAY(E$6),14,1))),ROW(F$1:F$14),""),ROW($A2))),"")</f>
        <v/>
      </c>
      <c r="F59" s="20" t="str">
        <f t="array" aca="1" ref="F59" ca="1">IFERROR(INDEX((OFFSET(#REF!,$J$57,WEEKDAY(F$6),14,1)),SMALL(IF(ISTEXT((OFFSET(#REF!,$J$57,WEEKDAY(F$6),14,1))),ROW(G$1:G$14),""),ROW($A2))),"")</f>
        <v/>
      </c>
      <c r="G59" s="20" t="str">
        <f t="array" aca="1" ref="G59" ca="1">IFERROR(INDEX((OFFSET(#REF!,$J$57,WEEKDAY(G$6),14,1)),SMALL(IF(ISTEXT((OFFSET(#REF!,$J$57,WEEKDAY(G$6),14,1))),ROW(H$1:H$14),""),ROW($A2))),"")</f>
        <v/>
      </c>
    </row>
    <row r="60" spans="1:10" x14ac:dyDescent="0.25">
      <c r="A60" s="20" t="str">
        <f t="array" aca="1" ref="A60" ca="1">IFERROR(INDEX((OFFSET(#REF!,$J$57,WEEKDAY(A$6),14,1)),SMALL(IF(ISTEXT((OFFSET(#REF!,$J$57,WEEKDAY(A$6),14,1))),ROW(B$1:B$14),""),ROW($A3))),"")</f>
        <v/>
      </c>
      <c r="B60" s="20" t="str">
        <f t="array" aca="1" ref="B60" ca="1">IFERROR(INDEX((OFFSET(#REF!,$J$57,WEEKDAY(B$6),14,1)),SMALL(IF(ISTEXT((OFFSET(#REF!,$J$57,WEEKDAY(B$6),14,1))),ROW(C$1:C$14),""),ROW($A3))),"")</f>
        <v/>
      </c>
      <c r="C60" s="13" t="str">
        <f t="array" aca="1" ref="C60" ca="1">IFERROR(INDEX((OFFSET(#REF!,$J$57,WEEKDAY(C$6),14,1)),SMALL(IF(ISTEXT((OFFSET(#REF!,$J$57,WEEKDAY(C$6),14,1))),ROW(D$1:D$14),""),ROW($A3))),"")</f>
        <v/>
      </c>
      <c r="D60" s="13" t="str">
        <f t="array" aca="1" ref="D60" ca="1">IFERROR(INDEX((OFFSET(#REF!,$J$57,WEEKDAY(D$6),14,1)),SMALL(IF(ISTEXT((OFFSET(#REF!,$J$57,WEEKDAY(D$6),14,1))),ROW(E$1:E$14),""),ROW($A3))),"")</f>
        <v/>
      </c>
      <c r="E60" s="13" t="str">
        <f t="array" aca="1" ref="E60" ca="1">IFERROR(INDEX((OFFSET(#REF!,$J$57,WEEKDAY(E$6),14,1)),SMALL(IF(ISTEXT((OFFSET(#REF!,$J$57,WEEKDAY(E$6),14,1))),ROW(F$1:F$14),""),ROW($A3))),"")</f>
        <v/>
      </c>
      <c r="F60" s="20" t="str">
        <f t="array" aca="1" ref="F60" ca="1">IFERROR(INDEX((OFFSET(#REF!,$J$57,WEEKDAY(F$6),14,1)),SMALL(IF(ISTEXT((OFFSET(#REF!,$J$57,WEEKDAY(F$6),14,1))),ROW(G$1:G$14),""),ROW($A3))),"")</f>
        <v/>
      </c>
      <c r="G60" s="20" t="str">
        <f t="array" aca="1" ref="G60" ca="1">IFERROR(INDEX((OFFSET(#REF!,$J$57,WEEKDAY(G$6),14,1)),SMALL(IF(ISTEXT((OFFSET(#REF!,$J$57,WEEKDAY(G$6),14,1))),ROW(H$1:H$14),""),ROW($A3))),"")</f>
        <v/>
      </c>
    </row>
    <row r="61" spans="1:10" x14ac:dyDescent="0.25">
      <c r="A61" s="13"/>
      <c r="B61" s="13"/>
      <c r="C61" s="13"/>
      <c r="D61" s="13"/>
      <c r="E61" s="13"/>
      <c r="F61" s="13"/>
      <c r="G61" s="13"/>
    </row>
    <row r="62" spans="1:10" x14ac:dyDescent="0.25">
      <c r="A62" s="21">
        <f t="array" ref="A62:G62">DaysandWeeks+DATE(CalendarYear,MonthStart,1)-WEEKDAY(DATE(CalendarYear,MonthStart,1),1)+I62</f>
        <v>44423</v>
      </c>
      <c r="B62" s="21">
        <v>44424</v>
      </c>
      <c r="C62" s="21">
        <v>44425</v>
      </c>
      <c r="D62" s="21">
        <v>44426</v>
      </c>
      <c r="E62" s="21">
        <v>44427</v>
      </c>
      <c r="F62" s="21">
        <v>44428</v>
      </c>
      <c r="G62" s="21">
        <v>44429</v>
      </c>
      <c r="I62">
        <f t="shared" si="6"/>
        <v>78</v>
      </c>
      <c r="J62" t="e">
        <f ca="1">MATCH(A62,OFFSET(#REF!,1,COLUMN(A62),286,1))</f>
        <v>#REF!</v>
      </c>
    </row>
    <row r="63" spans="1:10" x14ac:dyDescent="0.25">
      <c r="A63" s="20" t="str">
        <f t="array" aca="1" ref="A63" ca="1">IFERROR(INDEX((OFFSET(#REF!,$J$62,WEEKDAY(A$6),14,1)),SMALL(IF(ISTEXT((OFFSET(#REF!,$J$62,WEEKDAY(A$6),14,1))),ROW(B$1:B$14),""),ROW($A1))),"")</f>
        <v/>
      </c>
      <c r="B63" s="20" t="str">
        <f t="array" aca="1" ref="B63" ca="1">IFERROR(INDEX((OFFSET(#REF!,$J$62,WEEKDAY(B$6),14,1)),SMALL(IF(ISTEXT((OFFSET(#REF!,$J$62,WEEKDAY(B$6),14,1))),ROW(C$1:C$14),""),ROW($A1))),"")</f>
        <v/>
      </c>
      <c r="C63" s="20" t="str">
        <f t="array" aca="1" ref="C63" ca="1">IFERROR(INDEX((OFFSET(#REF!,$J$62,WEEKDAY(C$6),14,1)),SMALL(IF(ISTEXT((OFFSET(#REF!,$J$62,WEEKDAY(C$6),14,1))),ROW(D$1:D$14),""),ROW($A1))),"")</f>
        <v/>
      </c>
      <c r="D63" s="20" t="str">
        <f t="array" aca="1" ref="D63" ca="1">IFERROR(INDEX((OFFSET(#REF!,$J$62,WEEKDAY(D$6),14,1)),SMALL(IF(ISTEXT((OFFSET(#REF!,$J$62,WEEKDAY(D$6),14,1))),ROW(E$1:E$14),""),ROW($A1))),"")</f>
        <v/>
      </c>
      <c r="E63" s="20" t="str">
        <f t="array" aca="1" ref="E63" ca="1">IFERROR(INDEX((OFFSET(#REF!,$J$62,WEEKDAY(E$6),14,1)),SMALL(IF(ISTEXT((OFFSET(#REF!,$J$62,WEEKDAY(E$6),14,1))),ROW(F$1:F$14),""),ROW($A1))),"")</f>
        <v/>
      </c>
      <c r="F63" s="20" t="str">
        <f t="array" aca="1" ref="F63" ca="1">IFERROR(INDEX((OFFSET(#REF!,$J$62,WEEKDAY(F$6),14,1)),SMALL(IF(ISTEXT((OFFSET(#REF!,$J$62,WEEKDAY(F$6),14,1))),ROW(G$1:G$14),""),ROW($A1))),"")</f>
        <v/>
      </c>
      <c r="G63" s="20" t="str">
        <f t="array" aca="1" ref="G63" ca="1">IFERROR(INDEX((OFFSET(#REF!,$J$62,WEEKDAY(G$6),14,1)),SMALL(IF(ISTEXT((OFFSET(#REF!,$J$62,WEEKDAY(G$6),14,1))),ROW(H$1:H$14),""),ROW($A1))),"")</f>
        <v/>
      </c>
    </row>
    <row r="64" spans="1:10" x14ac:dyDescent="0.25">
      <c r="A64" s="20" t="str">
        <f t="array" aca="1" ref="A64" ca="1">IFERROR(INDEX((OFFSET(#REF!,$J$62,WEEKDAY(A$6),14,1)),SMALL(IF(ISTEXT((OFFSET(#REF!,$J$62,WEEKDAY(A$6),14,1))),ROW(B$1:B$14),""),ROW($A2))),"")</f>
        <v/>
      </c>
      <c r="B64" s="20" t="str">
        <f t="array" aca="1" ref="B64" ca="1">IFERROR(INDEX((OFFSET(#REF!,$J$62,WEEKDAY(B$6),14,1)),SMALL(IF(ISTEXT((OFFSET(#REF!,$J$62,WEEKDAY(B$6),14,1))),ROW(C$1:C$14),""),ROW($A2))),"")</f>
        <v/>
      </c>
      <c r="C64" s="20" t="str">
        <f t="array" aca="1" ref="C64" ca="1">IFERROR(INDEX((OFFSET(#REF!,$J$62,WEEKDAY(C$6),14,1)),SMALL(IF(ISTEXT((OFFSET(#REF!,$J$62,WEEKDAY(C$6),14,1))),ROW(D$1:D$14),""),ROW($A2))),"")</f>
        <v/>
      </c>
      <c r="D64" s="20" t="str">
        <f t="array" aca="1" ref="D64" ca="1">IFERROR(INDEX((OFFSET(#REF!,$J$62,WEEKDAY(D$6),14,1)),SMALL(IF(ISTEXT((OFFSET(#REF!,$J$62,WEEKDAY(D$6),14,1))),ROW(E$1:E$14),""),ROW($A2))),"")</f>
        <v/>
      </c>
      <c r="E64" s="20" t="str">
        <f t="array" aca="1" ref="E64" ca="1">IFERROR(INDEX((OFFSET(#REF!,$J$62,WEEKDAY(E$6),14,1)),SMALL(IF(ISTEXT((OFFSET(#REF!,$J$62,WEEKDAY(E$6),14,1))),ROW(F$1:F$14),""),ROW($A2))),"")</f>
        <v/>
      </c>
      <c r="F64" s="20" t="str">
        <f t="array" aca="1" ref="F64" ca="1">IFERROR(INDEX((OFFSET(#REF!,$J$62,WEEKDAY(F$6),14,1)),SMALL(IF(ISTEXT((OFFSET(#REF!,$J$62,WEEKDAY(F$6),14,1))),ROW(G$1:G$14),""),ROW($A2))),"")</f>
        <v/>
      </c>
      <c r="G64" s="20" t="str">
        <f t="array" aca="1" ref="G64" ca="1">IFERROR(INDEX((OFFSET(#REF!,$J$62,WEEKDAY(G$6),14,1)),SMALL(IF(ISTEXT((OFFSET(#REF!,$J$62,WEEKDAY(G$6),14,1))),ROW(H$1:H$14),""),ROW($A2))),"")</f>
        <v/>
      </c>
    </row>
    <row r="65" spans="1:10" x14ac:dyDescent="0.25">
      <c r="A65" s="20" t="str">
        <f t="array" aca="1" ref="A65" ca="1">IFERROR(INDEX((OFFSET(#REF!,$J$62,WEEKDAY(A$6),14,1)),SMALL(IF(ISTEXT((OFFSET(#REF!,$J$62,WEEKDAY(A$6),14,1))),ROW(B$1:B$14),""),ROW($A3))),"")</f>
        <v/>
      </c>
      <c r="B65" s="20" t="str">
        <f t="array" aca="1" ref="B65" ca="1">IFERROR(INDEX((OFFSET(#REF!,$J$62,WEEKDAY(B$6),14,1)),SMALL(IF(ISTEXT((OFFSET(#REF!,$J$62,WEEKDAY(B$6),14,1))),ROW(C$1:C$14),""),ROW($A3))),"")</f>
        <v/>
      </c>
      <c r="C65" s="13" t="str">
        <f t="array" aca="1" ref="C65" ca="1">IFERROR(INDEX((OFFSET(#REF!,$J$62,WEEKDAY(C$6),14,1)),SMALL(IF(ISTEXT((OFFSET(#REF!,$J$62,WEEKDAY(C$6),14,1))),ROW(D$1:D$14),""),ROW($A3))),"")</f>
        <v/>
      </c>
      <c r="D65" s="13" t="str">
        <f t="array" aca="1" ref="D65" ca="1">IFERROR(INDEX((OFFSET(#REF!,$J$62,WEEKDAY(D$6),14,1)),SMALL(IF(ISTEXT((OFFSET(#REF!,$J$62,WEEKDAY(D$6),14,1))),ROW(E$1:E$14),""),ROW($A3))),"")</f>
        <v/>
      </c>
      <c r="E65" s="13" t="str">
        <f t="array" aca="1" ref="E65" ca="1">IFERROR(INDEX((OFFSET(#REF!,$J$62,WEEKDAY(E$6),14,1)),SMALL(IF(ISTEXT((OFFSET(#REF!,$J$62,WEEKDAY(E$6),14,1))),ROW(F$1:F$14),""),ROW($A3))),"")</f>
        <v/>
      </c>
      <c r="F65" s="20" t="str">
        <f t="array" aca="1" ref="F65" ca="1">IFERROR(INDEX((OFFSET(#REF!,$J$62,WEEKDAY(F$6),14,1)),SMALL(IF(ISTEXT((OFFSET(#REF!,$J$62,WEEKDAY(F$6),14,1))),ROW(G$1:G$14),""),ROW($A3))),"")</f>
        <v/>
      </c>
      <c r="G65" s="20" t="str">
        <f t="array" aca="1" ref="G65" ca="1">IFERROR(INDEX((OFFSET(#REF!,$J$62,WEEKDAY(G$6),14,1)),SMALL(IF(ISTEXT((OFFSET(#REF!,$J$62,WEEKDAY(G$6),14,1))),ROW(H$1:H$14),""),ROW($A3))),"")</f>
        <v/>
      </c>
    </row>
    <row r="66" spans="1:10" x14ac:dyDescent="0.25">
      <c r="A66" s="13"/>
      <c r="B66" s="13"/>
      <c r="C66" s="13"/>
      <c r="D66" s="13"/>
      <c r="E66" s="13"/>
      <c r="F66" s="13"/>
      <c r="G66" s="13"/>
    </row>
    <row r="67" spans="1:10" x14ac:dyDescent="0.25">
      <c r="A67" s="21">
        <f t="array" ref="A67:G67">DaysandWeeks+DATE(CalendarYear,MonthStart,1)-WEEKDAY(DATE(CalendarYear,MonthStart,1),1)+I67</f>
        <v>44430</v>
      </c>
      <c r="B67" s="21">
        <v>44431</v>
      </c>
      <c r="C67" s="21">
        <v>44432</v>
      </c>
      <c r="D67" s="21">
        <v>44433</v>
      </c>
      <c r="E67" s="21">
        <v>44434</v>
      </c>
      <c r="F67" s="21">
        <v>44435</v>
      </c>
      <c r="G67" s="21">
        <v>44436</v>
      </c>
      <c r="I67">
        <f t="shared" si="6"/>
        <v>85</v>
      </c>
      <c r="J67" t="e">
        <f ca="1">MATCH(A67,OFFSET(#REF!,1,COLUMN(A67),286,1))</f>
        <v>#REF!</v>
      </c>
    </row>
    <row r="68" spans="1:10" x14ac:dyDescent="0.25">
      <c r="A68" s="20" t="str">
        <f t="array" aca="1" ref="A68" ca="1">IFERROR(INDEX((OFFSET(#REF!,$J$67,WEEKDAY(A$6),14,1)),SMALL(IF(ISTEXT((OFFSET(#REF!,$J$67,WEEKDAY(A$6),14,1))),ROW(B$1:B$14),""),ROW($A1))),"")</f>
        <v/>
      </c>
      <c r="B68" s="20" t="str">
        <f t="array" aca="1" ref="B68" ca="1">IFERROR(INDEX((OFFSET(#REF!,$J$67,WEEKDAY(B$6),14,1)),SMALL(IF(ISTEXT((OFFSET(#REF!,$J$67,WEEKDAY(B$6),14,1))),ROW(C$1:C$14),""),ROW($A1))),"")</f>
        <v/>
      </c>
      <c r="C68" s="20" t="str">
        <f t="array" aca="1" ref="C68" ca="1">IFERROR(INDEX((OFFSET(#REF!,$J$67,WEEKDAY(C$6),14,1)),SMALL(IF(ISTEXT((OFFSET(#REF!,$J$67,WEEKDAY(C$6),14,1))),ROW(D$1:D$14),""),ROW($A1))),"")</f>
        <v/>
      </c>
      <c r="D68" s="20" t="str">
        <f t="array" aca="1" ref="D68" ca="1">IFERROR(INDEX((OFFSET(#REF!,$J$67,WEEKDAY(D$6),14,1)),SMALL(IF(ISTEXT((OFFSET(#REF!,$J$67,WEEKDAY(D$6),14,1))),ROW(E$1:E$14),""),ROW($A1))),"")</f>
        <v/>
      </c>
      <c r="E68" s="20" t="str">
        <f t="array" aca="1" ref="E68" ca="1">IFERROR(INDEX((OFFSET(#REF!,$J$67,WEEKDAY(E$6),14,1)),SMALL(IF(ISTEXT((OFFSET(#REF!,$J$67,WEEKDAY(E$6),14,1))),ROW(F$1:F$14),""),ROW($A1))),"")</f>
        <v/>
      </c>
      <c r="F68" s="20" t="str">
        <f t="array" aca="1" ref="F68" ca="1">IFERROR(INDEX((OFFSET(#REF!,$J$67,WEEKDAY(F$6),14,1)),SMALL(IF(ISTEXT((OFFSET(#REF!,$J$67,WEEKDAY(F$6),14,1))),ROW(G$1:G$14),""),ROW($A1))),"")</f>
        <v/>
      </c>
      <c r="G68" s="20" t="str">
        <f t="array" aca="1" ref="G68" ca="1">IFERROR(INDEX((OFFSET(#REF!,$J$67,WEEKDAY(G$6),14,1)),SMALL(IF(ISTEXT((OFFSET(#REF!,$J$67,WEEKDAY(G$6),14,1))),ROW(H$1:H$14),""),ROW($A1))),"")</f>
        <v/>
      </c>
    </row>
    <row r="69" spans="1:10" x14ac:dyDescent="0.25">
      <c r="A69" s="20" t="str">
        <f t="array" aca="1" ref="A69" ca="1">IFERROR(INDEX((OFFSET(#REF!,$J$67,WEEKDAY(A$6),14,1)),SMALL(IF(ISTEXT((OFFSET(#REF!,$J$67,WEEKDAY(A$6),14,1))),ROW(B$1:B$14),""),ROW($A2))),"")</f>
        <v/>
      </c>
      <c r="B69" s="20" t="str">
        <f t="array" aca="1" ref="B69" ca="1">IFERROR(INDEX((OFFSET(#REF!,$J$67,WEEKDAY(B$6),14,1)),SMALL(IF(ISTEXT((OFFSET(#REF!,$J$67,WEEKDAY(B$6),14,1))),ROW(C$1:C$14),""),ROW($A2))),"")</f>
        <v/>
      </c>
      <c r="C69" s="20" t="str">
        <f t="array" aca="1" ref="C69" ca="1">IFERROR(INDEX((OFFSET(#REF!,$J$67,WEEKDAY(C$6),14,1)),SMALL(IF(ISTEXT((OFFSET(#REF!,$J$67,WEEKDAY(C$6),14,1))),ROW(D$1:D$14),""),ROW($A2))),"")</f>
        <v/>
      </c>
      <c r="D69" s="20" t="str">
        <f t="array" aca="1" ref="D69" ca="1">IFERROR(INDEX((OFFSET(#REF!,$J$67,WEEKDAY(D$6),14,1)),SMALL(IF(ISTEXT((OFFSET(#REF!,$J$67,WEEKDAY(D$6),14,1))),ROW(E$1:E$14),""),ROW($A2))),"")</f>
        <v/>
      </c>
      <c r="E69" s="20" t="str">
        <f t="array" aca="1" ref="E69" ca="1">IFERROR(INDEX((OFFSET(#REF!,$J$67,WEEKDAY(E$6),14,1)),SMALL(IF(ISTEXT((OFFSET(#REF!,$J$67,WEEKDAY(E$6),14,1))),ROW(F$1:F$14),""),ROW($A2))),"")</f>
        <v/>
      </c>
      <c r="F69" s="20" t="str">
        <f t="array" aca="1" ref="F69" ca="1">IFERROR(INDEX((OFFSET(#REF!,$J$67,WEEKDAY(F$6),14,1)),SMALL(IF(ISTEXT((OFFSET(#REF!,$J$67,WEEKDAY(F$6),14,1))),ROW(G$1:G$14),""),ROW($A2))),"")</f>
        <v/>
      </c>
      <c r="G69" s="20" t="str">
        <f t="array" aca="1" ref="G69" ca="1">IFERROR(INDEX((OFFSET(#REF!,$J$67,WEEKDAY(G$6),14,1)),SMALL(IF(ISTEXT((OFFSET(#REF!,$J$67,WEEKDAY(G$6),14,1))),ROW(H$1:H$14),""),ROW($A2))),"")</f>
        <v/>
      </c>
    </row>
    <row r="70" spans="1:10" x14ac:dyDescent="0.25">
      <c r="A70" s="20" t="str">
        <f t="array" aca="1" ref="A70" ca="1">IFERROR(INDEX((OFFSET(#REF!,$J$67,WEEKDAY(A$6),14,1)),SMALL(IF(ISTEXT((OFFSET(#REF!,$J$67,WEEKDAY(A$6),14,1))),ROW(B$1:B$14),""),ROW($A3))),"")</f>
        <v/>
      </c>
      <c r="B70" s="20" t="str">
        <f t="array" aca="1" ref="B70" ca="1">IFERROR(INDEX((OFFSET(#REF!,$J$67,WEEKDAY(B$6),14,1)),SMALL(IF(ISTEXT((OFFSET(#REF!,$J$67,WEEKDAY(B$6),14,1))),ROW(C$1:C$14),""),ROW($A3))),"")</f>
        <v/>
      </c>
      <c r="C70" s="13" t="str">
        <f t="array" aca="1" ref="C70" ca="1">IFERROR(INDEX((OFFSET(#REF!,$J$67,WEEKDAY(C$6),14,1)),SMALL(IF(ISTEXT((OFFSET(#REF!,$J$67,WEEKDAY(C$6),14,1))),ROW(D$1:D$14),""),ROW($A3))),"")</f>
        <v/>
      </c>
      <c r="D70" s="13" t="str">
        <f t="array" aca="1" ref="D70" ca="1">IFERROR(INDEX((OFFSET(#REF!,$J$67,WEEKDAY(D$6),14,1)),SMALL(IF(ISTEXT((OFFSET(#REF!,$J$67,WEEKDAY(D$6),14,1))),ROW(E$1:E$14),""),ROW($A3))),"")</f>
        <v/>
      </c>
      <c r="E70" s="13" t="str">
        <f t="array" aca="1" ref="E70" ca="1">IFERROR(INDEX((OFFSET(#REF!,$J$67,WEEKDAY(E$6),14,1)),SMALL(IF(ISTEXT((OFFSET(#REF!,$J$67,WEEKDAY(E$6),14,1))),ROW(F$1:F$14),""),ROW($A3))),"")</f>
        <v/>
      </c>
      <c r="F70" s="20" t="str">
        <f t="array" aca="1" ref="F70" ca="1">IFERROR(INDEX((OFFSET(#REF!,$J$67,WEEKDAY(F$6),14,1)),SMALL(IF(ISTEXT((OFFSET(#REF!,$J$67,WEEKDAY(F$6),14,1))),ROW(G$1:G$14),""),ROW($A3))),"")</f>
        <v/>
      </c>
      <c r="G70" s="20" t="str">
        <f t="array" aca="1" ref="G70" ca="1">IFERROR(INDEX((OFFSET(#REF!,$J$67,WEEKDAY(G$6),14,1)),SMALL(IF(ISTEXT((OFFSET(#REF!,$J$67,WEEKDAY(G$6),14,1))),ROW(H$1:H$14),""),ROW($A3))),"")</f>
        <v/>
      </c>
    </row>
    <row r="71" spans="1:10" x14ac:dyDescent="0.25">
      <c r="A71" s="13"/>
      <c r="B71" s="13"/>
      <c r="C71" s="13"/>
      <c r="D71" s="13"/>
      <c r="E71" s="13"/>
      <c r="F71" s="13"/>
      <c r="G71" s="13"/>
    </row>
    <row r="72" spans="1:10" x14ac:dyDescent="0.25">
      <c r="A72" s="21">
        <f t="array" ref="A72:G72">DaysandWeeks+DATE(CalendarYear,MonthStart,1)-WEEKDAY(DATE(CalendarYear,MonthStart,1),1)+I72</f>
        <v>44437</v>
      </c>
      <c r="B72" s="21">
        <v>44438</v>
      </c>
      <c r="C72" s="21">
        <v>44439</v>
      </c>
      <c r="D72" s="21">
        <v>44440</v>
      </c>
      <c r="E72" s="21">
        <v>44441</v>
      </c>
      <c r="F72" s="21">
        <v>44442</v>
      </c>
      <c r="G72" s="21">
        <v>44443</v>
      </c>
      <c r="I72">
        <f t="shared" si="6"/>
        <v>92</v>
      </c>
      <c r="J72" t="e">
        <f ca="1">MATCH(A72,OFFSET(#REF!,1,COLUMN(A72),286,1))</f>
        <v>#REF!</v>
      </c>
    </row>
    <row r="73" spans="1:10" x14ac:dyDescent="0.25">
      <c r="A73" s="20" t="str">
        <f t="array" aca="1" ref="A73" ca="1">IFERROR(INDEX((OFFSET(#REF!,$J$72,WEEKDAY(A$6),14,1)),SMALL(IF(ISTEXT((OFFSET(#REF!,$J$72,WEEKDAY(A$6),14,1))),ROW(B$1:B$14),""),ROW($A1))),"")</f>
        <v/>
      </c>
      <c r="B73" s="20" t="str">
        <f t="array" aca="1" ref="B73" ca="1">IFERROR(INDEX((OFFSET(#REF!,$J$72,WEEKDAY(B$6),14,1)),SMALL(IF(ISTEXT((OFFSET(#REF!,$J$72,WEEKDAY(B$6),14,1))),ROW(C$1:C$14),""),ROW($A1))),"")</f>
        <v/>
      </c>
      <c r="C73" s="20" t="str">
        <f t="array" aca="1" ref="C73" ca="1">IFERROR(INDEX((OFFSET(#REF!,$J$72,WEEKDAY(C$6),14,1)),SMALL(IF(ISTEXT((OFFSET(#REF!,$J$72,WEEKDAY(C$6),14,1))),ROW(D$1:D$14),""),ROW($A1))),"")</f>
        <v/>
      </c>
      <c r="D73" s="20" t="str">
        <f t="array" aca="1" ref="D73" ca="1">IFERROR(INDEX((OFFSET(#REF!,$J$72,WEEKDAY(D$6),14,1)),SMALL(IF(ISTEXT((OFFSET(#REF!,$J$72,WEEKDAY(D$6),14,1))),ROW(E$1:E$14),""),ROW($A1))),"")</f>
        <v/>
      </c>
      <c r="E73" s="20" t="str">
        <f t="array" aca="1" ref="E73" ca="1">IFERROR(INDEX((OFFSET(#REF!,$J$72,WEEKDAY(E$6),14,1)),SMALL(IF(ISTEXT((OFFSET(#REF!,$J$72,WEEKDAY(E$6),14,1))),ROW(F$1:F$14),""),ROW($A1))),"")</f>
        <v/>
      </c>
      <c r="F73" s="20" t="str">
        <f t="array" aca="1" ref="F73" ca="1">IFERROR(INDEX((OFFSET(#REF!,$J$72,WEEKDAY(F$6),14,1)),SMALL(IF(ISTEXT((OFFSET(#REF!,$J$72,WEEKDAY(F$6),14,1))),ROW(G$1:G$14),""),ROW($A1))),"")</f>
        <v/>
      </c>
      <c r="G73" s="20" t="str">
        <f t="array" aca="1" ref="G73" ca="1">IFERROR(INDEX((OFFSET(#REF!,$J$72,WEEKDAY(G$6),14,1)),SMALL(IF(ISTEXT((OFFSET(#REF!,$J$72,WEEKDAY(G$6),14,1))),ROW(H$1:H$14),""),ROW($A1))),"")</f>
        <v/>
      </c>
    </row>
    <row r="74" spans="1:10" x14ac:dyDescent="0.25">
      <c r="A74" s="20" t="str">
        <f t="array" aca="1" ref="A74" ca="1">IFERROR(INDEX((OFFSET(#REF!,$J$72,WEEKDAY(A$6),14,1)),SMALL(IF(ISTEXT((OFFSET(#REF!,$J$72,WEEKDAY(A$6),14,1))),ROW(B$1:B$14),""),ROW($A2))),"")</f>
        <v/>
      </c>
      <c r="B74" s="20" t="str">
        <f t="array" aca="1" ref="B74" ca="1">IFERROR(INDEX((OFFSET(#REF!,$J$72,WEEKDAY(B$6),14,1)),SMALL(IF(ISTEXT((OFFSET(#REF!,$J$72,WEEKDAY(B$6),14,1))),ROW(C$1:C$14),""),ROW($A2))),"")</f>
        <v/>
      </c>
      <c r="C74" s="20" t="str">
        <f t="array" aca="1" ref="C74" ca="1">IFERROR(INDEX((OFFSET(#REF!,$J$72,WEEKDAY(C$6),14,1)),SMALL(IF(ISTEXT((OFFSET(#REF!,$J$72,WEEKDAY(C$6),14,1))),ROW(D$1:D$14),""),ROW($A2))),"")</f>
        <v/>
      </c>
      <c r="D74" s="20" t="str">
        <f t="array" aca="1" ref="D74" ca="1">IFERROR(INDEX((OFFSET(#REF!,$J$72,WEEKDAY(D$6),14,1)),SMALL(IF(ISTEXT((OFFSET(#REF!,$J$72,WEEKDAY(D$6),14,1))),ROW(E$1:E$14),""),ROW($A2))),"")</f>
        <v/>
      </c>
      <c r="E74" s="20" t="str">
        <f t="array" aca="1" ref="E74" ca="1">IFERROR(INDEX((OFFSET(#REF!,$J$72,WEEKDAY(E$6),14,1)),SMALL(IF(ISTEXT((OFFSET(#REF!,$J$72,WEEKDAY(E$6),14,1))),ROW(F$1:F$14),""),ROW($A2))),"")</f>
        <v/>
      </c>
      <c r="F74" s="20" t="str">
        <f t="array" aca="1" ref="F74" ca="1">IFERROR(INDEX((OFFSET(#REF!,$J$72,WEEKDAY(F$6),14,1)),SMALL(IF(ISTEXT((OFFSET(#REF!,$J$72,WEEKDAY(F$6),14,1))),ROW(G$1:G$14),""),ROW($A2))),"")</f>
        <v/>
      </c>
      <c r="G74" s="20" t="str">
        <f t="array" aca="1" ref="G74" ca="1">IFERROR(INDEX((OFFSET(#REF!,$J$72,WEEKDAY(G$6),14,1)),SMALL(IF(ISTEXT((OFFSET(#REF!,$J$72,WEEKDAY(G$6),14,1))),ROW(H$1:H$14),""),ROW($A2))),"")</f>
        <v/>
      </c>
    </row>
    <row r="75" spans="1:10" x14ac:dyDescent="0.25">
      <c r="A75" s="20" t="str">
        <f t="array" aca="1" ref="A75" ca="1">IFERROR(INDEX((OFFSET(#REF!,$J$72,WEEKDAY(A$6),14,1)),SMALL(IF(ISTEXT((OFFSET(#REF!,$J$72,WEEKDAY(A$6),14,1))),ROW(B$1:B$14),""),ROW($A3))),"")</f>
        <v/>
      </c>
      <c r="B75" s="20" t="str">
        <f t="array" aca="1" ref="B75" ca="1">IFERROR(INDEX((OFFSET(#REF!,$J$72,WEEKDAY(B$6),14,1)),SMALL(IF(ISTEXT((OFFSET(#REF!,$J$72,WEEKDAY(B$6),14,1))),ROW(C$1:C$14),""),ROW($A3))),"")</f>
        <v/>
      </c>
      <c r="C75" s="13" t="str">
        <f t="array" aca="1" ref="C75" ca="1">IFERROR(INDEX((OFFSET(#REF!,$J$72,WEEKDAY(C$6),14,1)),SMALL(IF(ISTEXT((OFFSET(#REF!,$J$72,WEEKDAY(C$6),14,1))),ROW(D$1:D$14),""),ROW($A3))),"")</f>
        <v/>
      </c>
      <c r="D75" s="13" t="str">
        <f t="array" aca="1" ref="D75" ca="1">IFERROR(INDEX((OFFSET(#REF!,$J$72,WEEKDAY(D$6),14,1)),SMALL(IF(ISTEXT((OFFSET(#REF!,$J$72,WEEKDAY(D$6),14,1))),ROW(E$1:E$14),""),ROW($A3))),"")</f>
        <v/>
      </c>
      <c r="E75" s="13" t="str">
        <f t="array" aca="1" ref="E75" ca="1">IFERROR(INDEX((OFFSET(#REF!,$J$72,WEEKDAY(E$6),14,1)),SMALL(IF(ISTEXT((OFFSET(#REF!,$J$72,WEEKDAY(E$6),14,1))),ROW(F$1:F$14),""),ROW($A3))),"")</f>
        <v/>
      </c>
      <c r="F75" s="20" t="str">
        <f t="array" aca="1" ref="F75" ca="1">IFERROR(INDEX((OFFSET(#REF!,$J$72,WEEKDAY(F$6),14,1)),SMALL(IF(ISTEXT((OFFSET(#REF!,$J$72,WEEKDAY(F$6),14,1))),ROW(G$1:G$14),""),ROW($A3))),"")</f>
        <v/>
      </c>
      <c r="G75" s="20" t="str">
        <f t="array" aca="1" ref="G75" ca="1">IFERROR(INDEX((OFFSET(#REF!,$J$72,WEEKDAY(G$6),14,1)),SMALL(IF(ISTEXT((OFFSET(#REF!,$J$72,WEEKDAY(G$6),14,1))),ROW(H$1:H$14),""),ROW($A3))),"")</f>
        <v/>
      </c>
    </row>
    <row r="76" spans="1:10" x14ac:dyDescent="0.25">
      <c r="A76" s="13"/>
      <c r="B76" s="13"/>
      <c r="C76" s="13"/>
      <c r="D76" s="13"/>
      <c r="E76" s="13"/>
      <c r="F76" s="13"/>
      <c r="G76" s="13"/>
    </row>
    <row r="77" spans="1:10" x14ac:dyDescent="0.25">
      <c r="A77" s="21">
        <f t="array" ref="A77:G77">DaysandWeeks+DATE(CalendarYear,MonthStart,1)-WEEKDAY(DATE(CalendarYear,MonthStart,1),1)+I77</f>
        <v>44444</v>
      </c>
      <c r="B77" s="21">
        <v>44445</v>
      </c>
      <c r="C77" s="21">
        <v>44446</v>
      </c>
      <c r="D77" s="21">
        <v>44447</v>
      </c>
      <c r="E77" s="21">
        <v>44448</v>
      </c>
      <c r="F77" s="21">
        <v>44449</v>
      </c>
      <c r="G77" s="21">
        <v>44450</v>
      </c>
      <c r="I77">
        <f t="shared" si="6"/>
        <v>99</v>
      </c>
      <c r="J77" t="e">
        <f ca="1">MATCH(A77,OFFSET(#REF!,1,COLUMN(A77),286,1))</f>
        <v>#REF!</v>
      </c>
    </row>
    <row r="78" spans="1:10" x14ac:dyDescent="0.25">
      <c r="A78" s="20" t="str">
        <f t="array" aca="1" ref="A78" ca="1">IFERROR(INDEX((OFFSET(#REF!,$J$77,WEEKDAY(A$6),14,1)),SMALL(IF(ISTEXT((OFFSET(#REF!,$J$77,WEEKDAY(A$6),14,1))),ROW(B$1:B$14),""),ROW($A1))),"")</f>
        <v/>
      </c>
      <c r="B78" s="20" t="str">
        <f t="array" aca="1" ref="B78" ca="1">IFERROR(INDEX((OFFSET(#REF!,$J$77,WEEKDAY(B$6),14,1)),SMALL(IF(ISTEXT((OFFSET(#REF!,$J$77,WEEKDAY(B$6),14,1))),ROW(C$1:C$14),""),ROW($A1))),"")</f>
        <v/>
      </c>
      <c r="C78" s="20" t="str">
        <f t="array" aca="1" ref="C78" ca="1">IFERROR(INDEX((OFFSET(#REF!,$J$77,WEEKDAY(C$6),14,1)),SMALL(IF(ISTEXT((OFFSET(#REF!,$J$77,WEEKDAY(C$6),14,1))),ROW(D$1:D$14),""),ROW($A1))),"")</f>
        <v/>
      </c>
      <c r="D78" s="20" t="str">
        <f t="array" aca="1" ref="D78" ca="1">IFERROR(INDEX((OFFSET(#REF!,$J$77,WEEKDAY(D$6),14,1)),SMALL(IF(ISTEXT((OFFSET(#REF!,$J$77,WEEKDAY(D$6),14,1))),ROW(E$1:E$14),""),ROW($A1))),"")</f>
        <v/>
      </c>
      <c r="E78" s="20" t="str">
        <f t="array" aca="1" ref="E78" ca="1">IFERROR(INDEX((OFFSET(#REF!,$J$77,WEEKDAY(E$6),14,1)),SMALL(IF(ISTEXT((OFFSET(#REF!,$J$77,WEEKDAY(E$6),14,1))),ROW(F$1:F$14),""),ROW($A1))),"")</f>
        <v/>
      </c>
      <c r="F78" s="20" t="str">
        <f t="array" aca="1" ref="F78" ca="1">IFERROR(INDEX((OFFSET(#REF!,$J$77,WEEKDAY(F$6),14,1)),SMALL(IF(ISTEXT((OFFSET(#REF!,$J$77,WEEKDAY(F$6),14,1))),ROW(G$1:G$14),""),ROW($A1))),"")</f>
        <v/>
      </c>
      <c r="G78" s="20" t="str">
        <f t="array" aca="1" ref="G78" ca="1">IFERROR(INDEX((OFFSET(#REF!,$J$77,WEEKDAY(G$6),14,1)),SMALL(IF(ISTEXT((OFFSET(#REF!,$J$77,WEEKDAY(G$6),14,1))),ROW(H$1:H$14),""),ROW($A1))),"")</f>
        <v/>
      </c>
    </row>
    <row r="79" spans="1:10" x14ac:dyDescent="0.25">
      <c r="A79" s="20" t="str">
        <f t="array" aca="1" ref="A79" ca="1">IFERROR(INDEX((OFFSET(#REF!,$J$77,WEEKDAY(A$6),14,1)),SMALL(IF(ISTEXT((OFFSET(#REF!,$J$77,WEEKDAY(A$6),14,1))),ROW(B$1:B$14),""),ROW($A2))),"")</f>
        <v/>
      </c>
      <c r="B79" s="20" t="str">
        <f t="array" aca="1" ref="B79" ca="1">IFERROR(INDEX((OFFSET(#REF!,$J$77,WEEKDAY(B$6),14,1)),SMALL(IF(ISTEXT((OFFSET(#REF!,$J$77,WEEKDAY(B$6),14,1))),ROW(C$1:C$14),""),ROW($A2))),"")</f>
        <v/>
      </c>
      <c r="C79" s="20" t="str">
        <f t="array" aca="1" ref="C79" ca="1">IFERROR(INDEX((OFFSET(#REF!,$J$77,WEEKDAY(C$6),14,1)),SMALL(IF(ISTEXT((OFFSET(#REF!,$J$77,WEEKDAY(C$6),14,1))),ROW(D$1:D$14),""),ROW($A2))),"")</f>
        <v/>
      </c>
      <c r="D79" s="20" t="str">
        <f t="array" aca="1" ref="D79" ca="1">IFERROR(INDEX((OFFSET(#REF!,$J$77,WEEKDAY(D$6),14,1)),SMALL(IF(ISTEXT((OFFSET(#REF!,$J$77,WEEKDAY(D$6),14,1))),ROW(E$1:E$14),""),ROW($A2))),"")</f>
        <v/>
      </c>
      <c r="E79" s="20" t="str">
        <f t="array" aca="1" ref="E79" ca="1">IFERROR(INDEX((OFFSET(#REF!,$J$77,WEEKDAY(E$6),14,1)),SMALL(IF(ISTEXT((OFFSET(#REF!,$J$77,WEEKDAY(E$6),14,1))),ROW(F$1:F$14),""),ROW($A2))),"")</f>
        <v/>
      </c>
      <c r="F79" s="20" t="str">
        <f t="array" aca="1" ref="F79" ca="1">IFERROR(INDEX((OFFSET(#REF!,$J$77,WEEKDAY(F$6),14,1)),SMALL(IF(ISTEXT((OFFSET(#REF!,$J$77,WEEKDAY(F$6),14,1))),ROW(G$1:G$14),""),ROW($A2))),"")</f>
        <v/>
      </c>
      <c r="G79" s="20" t="str">
        <f t="array" aca="1" ref="G79" ca="1">IFERROR(INDEX((OFFSET(#REF!,$J$77,WEEKDAY(G$6),14,1)),SMALL(IF(ISTEXT((OFFSET(#REF!,$J$77,WEEKDAY(G$6),14,1))),ROW(H$1:H$14),""),ROW($A2))),"")</f>
        <v/>
      </c>
    </row>
    <row r="80" spans="1:10" x14ac:dyDescent="0.25">
      <c r="A80" s="20" t="str">
        <f t="array" aca="1" ref="A80" ca="1">IFERROR(INDEX((OFFSET(#REF!,$J$77,WEEKDAY(A$6),14,1)),SMALL(IF(ISTEXT((OFFSET(#REF!,$J$77,WEEKDAY(A$6),14,1))),ROW(B$1:B$14),""),ROW($A3))),"")</f>
        <v/>
      </c>
      <c r="B80" s="20" t="str">
        <f t="array" aca="1" ref="B80" ca="1">IFERROR(INDEX((OFFSET(#REF!,$J$77,WEEKDAY(B$6),14,1)),SMALL(IF(ISTEXT((OFFSET(#REF!,$J$77,WEEKDAY(B$6),14,1))),ROW(C$1:C$14),""),ROW($A3))),"")</f>
        <v/>
      </c>
      <c r="C80" s="13" t="str">
        <f t="array" aca="1" ref="C80" ca="1">IFERROR(INDEX((OFFSET(#REF!,$J$77,WEEKDAY(C$6),14,1)),SMALL(IF(ISTEXT((OFFSET(#REF!,$J$77,WEEKDAY(C$6),14,1))),ROW(D$1:D$14),""),ROW($A3))),"")</f>
        <v/>
      </c>
      <c r="D80" s="13" t="str">
        <f t="array" aca="1" ref="D80" ca="1">IFERROR(INDEX((OFFSET(#REF!,$J$77,WEEKDAY(D$6),14,1)),SMALL(IF(ISTEXT((OFFSET(#REF!,$J$77,WEEKDAY(D$6),14,1))),ROW(E$1:E$14),""),ROW($A3))),"")</f>
        <v/>
      </c>
      <c r="E80" s="13" t="str">
        <f t="array" aca="1" ref="E80" ca="1">IFERROR(INDEX((OFFSET(#REF!,$J$77,WEEKDAY(E$6),14,1)),SMALL(IF(ISTEXT((OFFSET(#REF!,$J$77,WEEKDAY(E$6),14,1))),ROW(F$1:F$14),""),ROW($A3))),"")</f>
        <v/>
      </c>
      <c r="F80" s="20" t="str">
        <f t="array" aca="1" ref="F80" ca="1">IFERROR(INDEX((OFFSET(#REF!,$J$77,WEEKDAY(F$6),14,1)),SMALL(IF(ISTEXT((OFFSET(#REF!,$J$77,WEEKDAY(F$6),14,1))),ROW(G$1:G$14),""),ROW($A3))),"")</f>
        <v/>
      </c>
      <c r="G80" s="20" t="str">
        <f t="array" aca="1" ref="G80" ca="1">IFERROR(INDEX((OFFSET(#REF!,$J$77,WEEKDAY(G$6),14,1)),SMALL(IF(ISTEXT((OFFSET(#REF!,$J$77,WEEKDAY(G$6),14,1))),ROW(H$1:H$14),""),ROW($A3))),"")</f>
        <v/>
      </c>
    </row>
    <row r="81" spans="1:10" x14ac:dyDescent="0.25">
      <c r="A81" s="13"/>
      <c r="B81" s="13"/>
      <c r="C81" s="13"/>
      <c r="D81" s="13"/>
      <c r="E81" s="13"/>
      <c r="F81" s="13"/>
      <c r="G81" s="13"/>
    </row>
    <row r="82" spans="1:10" x14ac:dyDescent="0.25">
      <c r="A82" s="21">
        <f t="array" ref="A82:G82">DaysandWeeks+DATE(CalendarYear,MonthStart,1)-WEEKDAY(DATE(CalendarYear,MonthStart,1),1)+I82</f>
        <v>44451</v>
      </c>
      <c r="B82" s="21">
        <v>44452</v>
      </c>
      <c r="C82" s="21">
        <v>44453</v>
      </c>
      <c r="D82" s="21">
        <v>44454</v>
      </c>
      <c r="E82" s="21">
        <v>44455</v>
      </c>
      <c r="F82" s="21">
        <v>44456</v>
      </c>
      <c r="G82" s="21">
        <v>44457</v>
      </c>
      <c r="I82">
        <f t="shared" si="6"/>
        <v>106</v>
      </c>
      <c r="J82" t="e">
        <f ca="1">MATCH(A82,OFFSET(#REF!,1,COLUMN(A82),286,1))</f>
        <v>#REF!</v>
      </c>
    </row>
    <row r="83" spans="1:10" x14ac:dyDescent="0.25">
      <c r="A83" s="20" t="str">
        <f t="array" aca="1" ref="A83" ca="1">IFERROR(INDEX((OFFSET(#REF!,$J$82,WEEKDAY(A$6),14,1)),SMALL(IF(ISTEXT((OFFSET(#REF!,$J$82,WEEKDAY(A$6),14,1))),ROW(B$1:B$14),""),ROW($A1))),"")</f>
        <v/>
      </c>
      <c r="B83" s="20" t="str">
        <f t="array" aca="1" ref="B83" ca="1">IFERROR(INDEX((OFFSET(#REF!,$J$82,WEEKDAY(B$6),14,1)),SMALL(IF(ISTEXT((OFFSET(#REF!,$J$82,WEEKDAY(B$6),14,1))),ROW(C$1:C$14),""),ROW($A1))),"")</f>
        <v/>
      </c>
      <c r="C83" s="20" t="str">
        <f t="array" aca="1" ref="C83" ca="1">IFERROR(INDEX((OFFSET(#REF!,$J$82,WEEKDAY(C$6),14,1)),SMALL(IF(ISTEXT((OFFSET(#REF!,$J$82,WEEKDAY(C$6),14,1))),ROW(D$1:D$14),""),ROW($A1))),"")</f>
        <v/>
      </c>
      <c r="D83" s="20" t="str">
        <f t="array" aca="1" ref="D83" ca="1">IFERROR(INDEX((OFFSET(#REF!,$J$82,WEEKDAY(D$6),14,1)),SMALL(IF(ISTEXT((OFFSET(#REF!,$J$82,WEEKDAY(D$6),14,1))),ROW(E$1:E$14),""),ROW($A1))),"")</f>
        <v/>
      </c>
      <c r="E83" s="20" t="str">
        <f t="array" aca="1" ref="E83" ca="1">IFERROR(INDEX((OFFSET(#REF!,$J$82,WEEKDAY(E$6),14,1)),SMALL(IF(ISTEXT((OFFSET(#REF!,$J$82,WEEKDAY(E$6),14,1))),ROW(F$1:F$14),""),ROW($A1))),"")</f>
        <v/>
      </c>
      <c r="F83" s="20" t="str">
        <f t="array" aca="1" ref="F83" ca="1">IFERROR(INDEX((OFFSET(#REF!,$J$82,WEEKDAY(F$6),14,1)),SMALL(IF(ISTEXT((OFFSET(#REF!,$J$82,WEEKDAY(F$6),14,1))),ROW(G$1:G$14),""),ROW($A1))),"")</f>
        <v/>
      </c>
      <c r="G83" s="20" t="str">
        <f t="array" aca="1" ref="G83" ca="1">IFERROR(INDEX((OFFSET(#REF!,$J$82,WEEKDAY(G$6),14,1)),SMALL(IF(ISTEXT((OFFSET(#REF!,$J$82,WEEKDAY(G$6),14,1))),ROW(H$1:H$14),""),ROW($A1))),"")</f>
        <v/>
      </c>
    </row>
    <row r="84" spans="1:10" x14ac:dyDescent="0.25">
      <c r="A84" s="20" t="str">
        <f t="array" aca="1" ref="A84" ca="1">IFERROR(INDEX((OFFSET(#REF!,$J$82,WEEKDAY(A$6),14,1)),SMALL(IF(ISTEXT((OFFSET(#REF!,$J$82,WEEKDAY(A$6),14,1))),ROW(B$1:B$14),""),ROW($A2))),"")</f>
        <v/>
      </c>
      <c r="B84" s="20" t="str">
        <f t="array" aca="1" ref="B84" ca="1">IFERROR(INDEX((OFFSET(#REF!,$J$82,WEEKDAY(B$6),14,1)),SMALL(IF(ISTEXT((OFFSET(#REF!,$J$82,WEEKDAY(B$6),14,1))),ROW(C$1:C$14),""),ROW($A2))),"")</f>
        <v/>
      </c>
      <c r="C84" s="20" t="str">
        <f t="array" aca="1" ref="C84" ca="1">IFERROR(INDEX((OFFSET(#REF!,$J$82,WEEKDAY(C$6),14,1)),SMALL(IF(ISTEXT((OFFSET(#REF!,$J$82,WEEKDAY(C$6),14,1))),ROW(D$1:D$14),""),ROW($A2))),"")</f>
        <v/>
      </c>
      <c r="D84" s="20" t="str">
        <f t="array" aca="1" ref="D84" ca="1">IFERROR(INDEX((OFFSET(#REF!,$J$82,WEEKDAY(D$6),14,1)),SMALL(IF(ISTEXT((OFFSET(#REF!,$J$82,WEEKDAY(D$6),14,1))),ROW(E$1:E$14),""),ROW($A2))),"")</f>
        <v/>
      </c>
      <c r="E84" s="20" t="str">
        <f t="array" aca="1" ref="E84" ca="1">IFERROR(INDEX((OFFSET(#REF!,$J$82,WEEKDAY(E$6),14,1)),SMALL(IF(ISTEXT((OFFSET(#REF!,$J$82,WEEKDAY(E$6),14,1))),ROW(F$1:F$14),""),ROW($A2))),"")</f>
        <v/>
      </c>
      <c r="F84" s="20" t="str">
        <f t="array" aca="1" ref="F84" ca="1">IFERROR(INDEX((OFFSET(#REF!,$J$82,WEEKDAY(F$6),14,1)),SMALL(IF(ISTEXT((OFFSET(#REF!,$J$82,WEEKDAY(F$6),14,1))),ROW(G$1:G$14),""),ROW($A2))),"")</f>
        <v/>
      </c>
      <c r="G84" s="20" t="str">
        <f t="array" aca="1" ref="G84" ca="1">IFERROR(INDEX((OFFSET(#REF!,$J$82,WEEKDAY(G$6),14,1)),SMALL(IF(ISTEXT((OFFSET(#REF!,$J$82,WEEKDAY(G$6),14,1))),ROW(H$1:H$14),""),ROW($A2))),"")</f>
        <v/>
      </c>
    </row>
    <row r="85" spans="1:10" x14ac:dyDescent="0.25">
      <c r="A85" s="20" t="str">
        <f t="array" aca="1" ref="A85" ca="1">IFERROR(INDEX((OFFSET(#REF!,$J$82,WEEKDAY(A$6),14,1)),SMALL(IF(ISTEXT((OFFSET(#REF!,$J$82,WEEKDAY(A$6),14,1))),ROW(B$1:B$14),""),ROW($A3))),"")</f>
        <v/>
      </c>
      <c r="B85" s="20" t="str">
        <f t="array" aca="1" ref="B85" ca="1">IFERROR(INDEX((OFFSET(#REF!,$J$82,WEEKDAY(B$6),14,1)),SMALL(IF(ISTEXT((OFFSET(#REF!,$J$82,WEEKDAY(B$6),14,1))),ROW(C$1:C$14),""),ROW($A3))),"")</f>
        <v/>
      </c>
      <c r="C85" s="13" t="str">
        <f t="array" aca="1" ref="C85" ca="1">IFERROR(INDEX((OFFSET(#REF!,$J$82,WEEKDAY(C$6),14,1)),SMALL(IF(ISTEXT((OFFSET(#REF!,$J$82,WEEKDAY(C$6),14,1))),ROW(D$1:D$14),""),ROW($A3))),"")</f>
        <v/>
      </c>
      <c r="D85" s="13" t="str">
        <f t="array" aca="1" ref="D85" ca="1">IFERROR(INDEX((OFFSET(#REF!,$J$82,WEEKDAY(D$6),14,1)),SMALL(IF(ISTEXT((OFFSET(#REF!,$J$82,WEEKDAY(D$6),14,1))),ROW(E$1:E$14),""),ROW($A3))),"")</f>
        <v/>
      </c>
      <c r="E85" s="13" t="str">
        <f t="array" aca="1" ref="E85" ca="1">IFERROR(INDEX((OFFSET(#REF!,$J$82,WEEKDAY(E$6),14,1)),SMALL(IF(ISTEXT((OFFSET(#REF!,$J$82,WEEKDAY(E$6),14,1))),ROW(F$1:F$14),""),ROW($A3))),"")</f>
        <v/>
      </c>
      <c r="F85" s="20" t="str">
        <f t="array" aca="1" ref="F85" ca="1">IFERROR(INDEX((OFFSET(#REF!,$J$82,WEEKDAY(F$6),14,1)),SMALL(IF(ISTEXT((OFFSET(#REF!,$J$82,WEEKDAY(F$6),14,1))),ROW(G$1:G$14),""),ROW($A3))),"")</f>
        <v/>
      </c>
      <c r="G85" s="20" t="str">
        <f t="array" aca="1" ref="G85" ca="1">IFERROR(INDEX((OFFSET(#REF!,$J$82,WEEKDAY(G$6),14,1)),SMALL(IF(ISTEXT((OFFSET(#REF!,$J$82,WEEKDAY(G$6),14,1))),ROW(H$1:H$14),""),ROW($A3))),"")</f>
        <v/>
      </c>
    </row>
    <row r="86" spans="1:10" x14ac:dyDescent="0.25">
      <c r="A86" s="13"/>
      <c r="B86" s="13"/>
      <c r="C86" s="13"/>
      <c r="D86" s="13"/>
      <c r="E86" s="13"/>
      <c r="F86" s="13"/>
      <c r="G86" s="13"/>
    </row>
    <row r="87" spans="1:10" x14ac:dyDescent="0.25">
      <c r="A87" s="21">
        <f t="array" ref="A87:G87">DaysandWeeks+DATE(CalendarYear,MonthStart,1)-WEEKDAY(DATE(CalendarYear,MonthStart,1),1)+I87</f>
        <v>44458</v>
      </c>
      <c r="B87" s="21">
        <v>44459</v>
      </c>
      <c r="C87" s="21">
        <v>44460</v>
      </c>
      <c r="D87" s="21">
        <v>44461</v>
      </c>
      <c r="E87" s="21">
        <v>44462</v>
      </c>
      <c r="F87" s="21">
        <v>44463</v>
      </c>
      <c r="G87" s="21">
        <v>44464</v>
      </c>
      <c r="I87">
        <f t="shared" si="6"/>
        <v>113</v>
      </c>
      <c r="J87" t="e">
        <f ca="1">MATCH(A87,OFFSET(#REF!,1,COLUMN(A87),286,1))</f>
        <v>#REF!</v>
      </c>
    </row>
    <row r="88" spans="1:10" x14ac:dyDescent="0.25">
      <c r="A88" s="20" t="str">
        <f t="array" aca="1" ref="A88" ca="1">IFERROR(INDEX((OFFSET(#REF!,$J$87,WEEKDAY(A$6),14,1)),SMALL(IF(ISTEXT((OFFSET(#REF!,$J$87,WEEKDAY(A$6),14,1))),ROW(B$1:B$14),""),ROW($A1))),"")</f>
        <v/>
      </c>
      <c r="B88" s="20" t="str">
        <f t="array" aca="1" ref="B88" ca="1">IFERROR(INDEX((OFFSET(#REF!,$J$87,WEEKDAY(B$6),14,1)),SMALL(IF(ISTEXT((OFFSET(#REF!,$J$87,WEEKDAY(B$6),14,1))),ROW(C$1:C$14),""),ROW($A1))),"")</f>
        <v/>
      </c>
      <c r="C88" s="20" t="str">
        <f t="array" aca="1" ref="C88" ca="1">IFERROR(INDEX((OFFSET(#REF!,$J$87,WEEKDAY(C$6),14,1)),SMALL(IF(ISTEXT((OFFSET(#REF!,$J$87,WEEKDAY(C$6),14,1))),ROW(D$1:D$14),""),ROW($A1))),"")</f>
        <v/>
      </c>
      <c r="D88" s="20" t="str">
        <f t="array" aca="1" ref="D88" ca="1">IFERROR(INDEX((OFFSET(#REF!,$J$87,WEEKDAY(D$6),14,1)),SMALL(IF(ISTEXT((OFFSET(#REF!,$J$87,WEEKDAY(D$6),14,1))),ROW(E$1:E$14),""),ROW($A1))),"")</f>
        <v/>
      </c>
      <c r="E88" s="20" t="str">
        <f t="array" aca="1" ref="E88" ca="1">IFERROR(INDEX((OFFSET(#REF!,$J$87,WEEKDAY(E$6),14,1)),SMALL(IF(ISTEXT((OFFSET(#REF!,$J$87,WEEKDAY(E$6),14,1))),ROW(F$1:F$14),""),ROW($A1))),"")</f>
        <v/>
      </c>
      <c r="F88" s="20" t="str">
        <f t="array" aca="1" ref="F88" ca="1">IFERROR(INDEX((OFFSET(#REF!,$J$87,WEEKDAY(F$6),14,1)),SMALL(IF(ISTEXT((OFFSET(#REF!,$J$87,WEEKDAY(F$6),14,1))),ROW(G$1:G$14),""),ROW($A1))),"")</f>
        <v/>
      </c>
      <c r="G88" s="20" t="str">
        <f t="array" aca="1" ref="G88" ca="1">IFERROR(INDEX((OFFSET(#REF!,$J$87,WEEKDAY(G$6),14,1)),SMALL(IF(ISTEXT((OFFSET(#REF!,$J$87,WEEKDAY(G$6),14,1))),ROW(H$1:H$14),""),ROW($A1))),"")</f>
        <v/>
      </c>
    </row>
    <row r="89" spans="1:10" x14ac:dyDescent="0.25">
      <c r="A89" s="20" t="str">
        <f t="array" aca="1" ref="A89" ca="1">IFERROR(INDEX((OFFSET(#REF!,$J$87,WEEKDAY(A$6),14,1)),SMALL(IF(ISTEXT((OFFSET(#REF!,$J$87,WEEKDAY(A$6),14,1))),ROW(B$1:B$14),""),ROW($A2))),"")</f>
        <v/>
      </c>
      <c r="B89" s="20" t="str">
        <f t="array" aca="1" ref="B89" ca="1">IFERROR(INDEX((OFFSET(#REF!,$J$87,WEEKDAY(B$6),14,1)),SMALL(IF(ISTEXT((OFFSET(#REF!,$J$87,WEEKDAY(B$6),14,1))),ROW(C$1:C$14),""),ROW($A2))),"")</f>
        <v/>
      </c>
      <c r="C89" s="20" t="str">
        <f t="array" aca="1" ref="C89" ca="1">IFERROR(INDEX((OFFSET(#REF!,$J$87,WEEKDAY(C$6),14,1)),SMALL(IF(ISTEXT((OFFSET(#REF!,$J$87,WEEKDAY(C$6),14,1))),ROW(D$1:D$14),""),ROW($A2))),"")</f>
        <v/>
      </c>
      <c r="D89" s="20" t="str">
        <f t="array" aca="1" ref="D89" ca="1">IFERROR(INDEX((OFFSET(#REF!,$J$87,WEEKDAY(D$6),14,1)),SMALL(IF(ISTEXT((OFFSET(#REF!,$J$87,WEEKDAY(D$6),14,1))),ROW(E$1:E$14),""),ROW($A2))),"")</f>
        <v/>
      </c>
      <c r="E89" s="20" t="str">
        <f t="array" aca="1" ref="E89" ca="1">IFERROR(INDEX((OFFSET(#REF!,$J$87,WEEKDAY(E$6),14,1)),SMALL(IF(ISTEXT((OFFSET(#REF!,$J$87,WEEKDAY(E$6),14,1))),ROW(F$1:F$14),""),ROW($A2))),"")</f>
        <v/>
      </c>
      <c r="F89" s="20" t="str">
        <f t="array" aca="1" ref="F89" ca="1">IFERROR(INDEX((OFFSET(#REF!,$J$87,WEEKDAY(F$6),14,1)),SMALL(IF(ISTEXT((OFFSET(#REF!,$J$87,WEEKDAY(F$6),14,1))),ROW(G$1:G$14),""),ROW($A2))),"")</f>
        <v/>
      </c>
      <c r="G89" s="20" t="str">
        <f t="array" aca="1" ref="G89" ca="1">IFERROR(INDEX((OFFSET(#REF!,$J$87,WEEKDAY(G$6),14,1)),SMALL(IF(ISTEXT((OFFSET(#REF!,$J$87,WEEKDAY(G$6),14,1))),ROW(H$1:H$14),""),ROW($A2))),"")</f>
        <v/>
      </c>
    </row>
    <row r="90" spans="1:10" x14ac:dyDescent="0.25">
      <c r="A90" s="20" t="str">
        <f t="array" aca="1" ref="A90" ca="1">IFERROR(INDEX((OFFSET(#REF!,$J$87,WEEKDAY(A$6),14,1)),SMALL(IF(ISTEXT((OFFSET(#REF!,$J$87,WEEKDAY(A$6),14,1))),ROW(B$1:B$14),""),ROW($A3))),"")</f>
        <v/>
      </c>
      <c r="B90" s="20" t="str">
        <f t="array" aca="1" ref="B90" ca="1">IFERROR(INDEX((OFFSET(#REF!,$J$87,WEEKDAY(B$6),14,1)),SMALL(IF(ISTEXT((OFFSET(#REF!,$J$87,WEEKDAY(B$6),14,1))),ROW(C$1:C$14),""),ROW($A3))),"")</f>
        <v/>
      </c>
      <c r="C90" s="13" t="str">
        <f t="array" aca="1" ref="C90" ca="1">IFERROR(INDEX((OFFSET(#REF!,$J$87,WEEKDAY(C$6),14,1)),SMALL(IF(ISTEXT((OFFSET(#REF!,$J$87,WEEKDAY(C$6),14,1))),ROW(D$1:D$14),""),ROW($A3))),"")</f>
        <v/>
      </c>
      <c r="D90" s="13" t="str">
        <f t="array" aca="1" ref="D90" ca="1">IFERROR(INDEX((OFFSET(#REF!,$J$87,WEEKDAY(D$6),14,1)),SMALL(IF(ISTEXT((OFFSET(#REF!,$J$87,WEEKDAY(D$6),14,1))),ROW(E$1:E$14),""),ROW($A3))),"")</f>
        <v/>
      </c>
      <c r="E90" s="13" t="str">
        <f t="array" aca="1" ref="E90" ca="1">IFERROR(INDEX((OFFSET(#REF!,$J$87,WEEKDAY(E$6),14,1)),SMALL(IF(ISTEXT((OFFSET(#REF!,$J$87,WEEKDAY(E$6),14,1))),ROW(F$1:F$14),""),ROW($A3))),"")</f>
        <v/>
      </c>
      <c r="F90" s="20" t="str">
        <f t="array" aca="1" ref="F90" ca="1">IFERROR(INDEX((OFFSET(#REF!,$J$87,WEEKDAY(F$6),14,1)),SMALL(IF(ISTEXT((OFFSET(#REF!,$J$87,WEEKDAY(F$6),14,1))),ROW(G$1:G$14),""),ROW($A3))),"")</f>
        <v/>
      </c>
      <c r="G90" s="20" t="str">
        <f t="array" aca="1" ref="G90" ca="1">IFERROR(INDEX((OFFSET(#REF!,$J$87,WEEKDAY(G$6),14,1)),SMALL(IF(ISTEXT((OFFSET(#REF!,$J$87,WEEKDAY(G$6),14,1))),ROW(H$1:H$14),""),ROW($A3))),"")</f>
        <v/>
      </c>
    </row>
    <row r="91" spans="1:10" x14ac:dyDescent="0.25">
      <c r="A91" s="13"/>
      <c r="B91" s="13"/>
      <c r="C91" s="13"/>
      <c r="D91" s="13"/>
      <c r="E91" s="13"/>
      <c r="F91" s="13"/>
      <c r="G91" s="13"/>
    </row>
    <row r="92" spans="1:10" x14ac:dyDescent="0.25">
      <c r="A92" s="21">
        <f t="array" ref="A92:G92">DaysandWeeks+DATE(CalendarYear,MonthStart,1)-WEEKDAY(DATE(CalendarYear,MonthStart,1),1)+I92</f>
        <v>44465</v>
      </c>
      <c r="B92" s="21">
        <v>44466</v>
      </c>
      <c r="C92" s="21">
        <v>44467</v>
      </c>
      <c r="D92" s="21">
        <v>44468</v>
      </c>
      <c r="E92" s="21">
        <v>44469</v>
      </c>
      <c r="F92" s="21">
        <v>44470</v>
      </c>
      <c r="G92" s="21">
        <v>44471</v>
      </c>
      <c r="I92">
        <f t="shared" si="6"/>
        <v>120</v>
      </c>
      <c r="J92" t="e">
        <f ca="1">MATCH(A92,OFFSET(#REF!,1,COLUMN(A92),286,1))</f>
        <v>#REF!</v>
      </c>
    </row>
    <row r="93" spans="1:10" x14ac:dyDescent="0.25">
      <c r="A93" s="20" t="str">
        <f t="array" aca="1" ref="A93" ca="1">IFERROR(INDEX((OFFSET(#REF!,$J$92,WEEKDAY(A$6),14,1)),SMALL(IF(ISTEXT((OFFSET(#REF!,$J$92,WEEKDAY(A$6),14,1))),ROW(B$1:B$14),""),ROW($A1))),"")</f>
        <v/>
      </c>
      <c r="B93" s="20" t="str">
        <f t="array" aca="1" ref="B93" ca="1">IFERROR(INDEX((OFFSET(#REF!,$J$92,WEEKDAY(B$6),14,1)),SMALL(IF(ISTEXT((OFFSET(#REF!,$J$92,WEEKDAY(B$6),14,1))),ROW(C$1:C$14),""),ROW($A1))),"")</f>
        <v/>
      </c>
      <c r="C93" s="20" t="str">
        <f t="array" aca="1" ref="C93" ca="1">IFERROR(INDEX((OFFSET(#REF!,$J$92,WEEKDAY(C$6),14,1)),SMALL(IF(ISTEXT((OFFSET(#REF!,$J$92,WEEKDAY(C$6),14,1))),ROW(D$1:D$14),""),ROW($A1))),"")</f>
        <v/>
      </c>
      <c r="D93" s="20" t="str">
        <f t="array" aca="1" ref="D93" ca="1">IFERROR(INDEX((OFFSET(#REF!,$J$92,WEEKDAY(D$6),14,1)),SMALL(IF(ISTEXT((OFFSET(#REF!,$J$92,WEEKDAY(D$6),14,1))),ROW(E$1:E$14),""),ROW($A1))),"")</f>
        <v/>
      </c>
      <c r="E93" s="20" t="str">
        <f t="array" aca="1" ref="E93" ca="1">IFERROR(INDEX((OFFSET(#REF!,$J$92,WEEKDAY(E$6),14,1)),SMALL(IF(ISTEXT((OFFSET(#REF!,$J$92,WEEKDAY(E$6),14,1))),ROW(F$1:F$14),""),ROW($A1))),"")</f>
        <v/>
      </c>
      <c r="F93" s="20" t="str">
        <f t="array" aca="1" ref="F93" ca="1">IFERROR(INDEX((OFFSET(#REF!,$J$92,WEEKDAY(F$6),14,1)),SMALL(IF(ISTEXT((OFFSET(#REF!,$J$92,WEEKDAY(F$6),14,1))),ROW(G$1:G$14),""),ROW($A1))),"")</f>
        <v/>
      </c>
      <c r="G93" s="20" t="str">
        <f t="array" aca="1" ref="G93" ca="1">IFERROR(INDEX((OFFSET(#REF!,$J$92,WEEKDAY(G$6),14,1)),SMALL(IF(ISTEXT((OFFSET(#REF!,$J$92,WEEKDAY(G$6),14,1))),ROW(H$1:H$14),""),ROW($A1))),"")</f>
        <v/>
      </c>
    </row>
    <row r="94" spans="1:10" x14ac:dyDescent="0.25">
      <c r="A94" s="20" t="str">
        <f t="array" aca="1" ref="A94" ca="1">IFERROR(INDEX((OFFSET(#REF!,$J$92,WEEKDAY(A$6),14,1)),SMALL(IF(ISTEXT((OFFSET(#REF!,$J$92,WEEKDAY(A$6),14,1))),ROW(B$1:B$14),""),ROW($A2))),"")</f>
        <v/>
      </c>
      <c r="B94" s="20" t="str">
        <f t="array" aca="1" ref="B94" ca="1">IFERROR(INDEX((OFFSET(#REF!,$J$92,WEEKDAY(B$6),14,1)),SMALL(IF(ISTEXT((OFFSET(#REF!,$J$92,WEEKDAY(B$6),14,1))),ROW(C$1:C$14),""),ROW($A2))),"")</f>
        <v/>
      </c>
      <c r="C94" s="20" t="str">
        <f t="array" aca="1" ref="C94" ca="1">IFERROR(INDEX((OFFSET(#REF!,$J$92,WEEKDAY(C$6),14,1)),SMALL(IF(ISTEXT((OFFSET(#REF!,$J$92,WEEKDAY(C$6),14,1))),ROW(D$1:D$14),""),ROW($A2))),"")</f>
        <v/>
      </c>
      <c r="D94" s="20" t="str">
        <f t="array" aca="1" ref="D94" ca="1">IFERROR(INDEX((OFFSET(#REF!,$J$92,WEEKDAY(D$6),14,1)),SMALL(IF(ISTEXT((OFFSET(#REF!,$J$92,WEEKDAY(D$6),14,1))),ROW(E$1:E$14),""),ROW($A2))),"")</f>
        <v/>
      </c>
      <c r="E94" s="20" t="str">
        <f t="array" aca="1" ref="E94" ca="1">IFERROR(INDEX((OFFSET(#REF!,$J$92,WEEKDAY(E$6),14,1)),SMALL(IF(ISTEXT((OFFSET(#REF!,$J$92,WEEKDAY(E$6),14,1))),ROW(F$1:F$14),""),ROW($A2))),"")</f>
        <v/>
      </c>
      <c r="F94" s="20" t="str">
        <f t="array" aca="1" ref="F94" ca="1">IFERROR(INDEX((OFFSET(#REF!,$J$92,WEEKDAY(F$6),14,1)),SMALL(IF(ISTEXT((OFFSET(#REF!,$J$92,WEEKDAY(F$6),14,1))),ROW(G$1:G$14),""),ROW($A2))),"")</f>
        <v/>
      </c>
      <c r="G94" s="20" t="str">
        <f t="array" aca="1" ref="G94" ca="1">IFERROR(INDEX((OFFSET(#REF!,$J$92,WEEKDAY(G$6),14,1)),SMALL(IF(ISTEXT((OFFSET(#REF!,$J$92,WEEKDAY(G$6),14,1))),ROW(H$1:H$14),""),ROW($A2))),"")</f>
        <v/>
      </c>
    </row>
    <row r="95" spans="1:10" x14ac:dyDescent="0.25">
      <c r="A95" s="20" t="str">
        <f t="array" aca="1" ref="A95" ca="1">IFERROR(INDEX((OFFSET(#REF!,$J$92,WEEKDAY(A$6),14,1)),SMALL(IF(ISTEXT((OFFSET(#REF!,$J$92,WEEKDAY(A$6),14,1))),ROW(B$1:B$14),""),ROW($A3))),"")</f>
        <v/>
      </c>
      <c r="B95" s="20" t="str">
        <f t="array" aca="1" ref="B95" ca="1">IFERROR(INDEX((OFFSET(#REF!,$J$92,WEEKDAY(B$6),14,1)),SMALL(IF(ISTEXT((OFFSET(#REF!,$J$92,WEEKDAY(B$6),14,1))),ROW(C$1:C$14),""),ROW($A3))),"")</f>
        <v/>
      </c>
      <c r="C95" s="13" t="str">
        <f t="array" aca="1" ref="C95" ca="1">IFERROR(INDEX((OFFSET(#REF!,$J$92,WEEKDAY(C$6),14,1)),SMALL(IF(ISTEXT((OFFSET(#REF!,$J$92,WEEKDAY(C$6),14,1))),ROW(D$1:D$14),""),ROW($A3))),"")</f>
        <v/>
      </c>
      <c r="D95" s="13" t="str">
        <f t="array" aca="1" ref="D95" ca="1">IFERROR(INDEX((OFFSET(#REF!,$J$92,WEEKDAY(D$6),14,1)),SMALL(IF(ISTEXT((OFFSET(#REF!,$J$92,WEEKDAY(D$6),14,1))),ROW(E$1:E$14),""),ROW($A3))),"")</f>
        <v/>
      </c>
      <c r="E95" s="13" t="str">
        <f t="array" aca="1" ref="E95" ca="1">IFERROR(INDEX((OFFSET(#REF!,$J$92,WEEKDAY(E$6),14,1)),SMALL(IF(ISTEXT((OFFSET(#REF!,$J$92,WEEKDAY(E$6),14,1))),ROW(F$1:F$14),""),ROW($A3))),"")</f>
        <v/>
      </c>
      <c r="F95" s="20" t="str">
        <f t="array" aca="1" ref="F95" ca="1">IFERROR(INDEX((OFFSET(#REF!,$J$92,WEEKDAY(F$6),14,1)),SMALL(IF(ISTEXT((OFFSET(#REF!,$J$92,WEEKDAY(F$6),14,1))),ROW(G$1:G$14),""),ROW($A3))),"")</f>
        <v/>
      </c>
      <c r="G95" s="20" t="str">
        <f t="array" aca="1" ref="G95" ca="1">IFERROR(INDEX((OFFSET(#REF!,$J$92,WEEKDAY(G$6),14,1)),SMALL(IF(ISTEXT((OFFSET(#REF!,$J$92,WEEKDAY(G$6),14,1))),ROW(H$1:H$14),""),ROW($A3))),"")</f>
        <v/>
      </c>
    </row>
    <row r="97" spans="1:10" x14ac:dyDescent="0.25">
      <c r="A97" s="21">
        <f t="array" ref="A97:G97">DaysandWeeks+DATE(CalendarYear,MonthStart,1)-WEEKDAY(DATE(CalendarYear,MonthStart,1),1)+I97</f>
        <v>44472</v>
      </c>
      <c r="B97" s="21">
        <v>44473</v>
      </c>
      <c r="C97" s="21">
        <v>44474</v>
      </c>
      <c r="D97" s="21">
        <v>44475</v>
      </c>
      <c r="E97" s="21">
        <v>44476</v>
      </c>
      <c r="F97" s="21">
        <v>44477</v>
      </c>
      <c r="G97" s="21">
        <v>44478</v>
      </c>
      <c r="I97">
        <f t="shared" ref="I97" si="7">I92+7</f>
        <v>127</v>
      </c>
      <c r="J97" t="e">
        <f ca="1">MATCH(A97,OFFSET(#REF!,1,COLUMN(A97),286,1))</f>
        <v>#REF!</v>
      </c>
    </row>
    <row r="98" spans="1:10" x14ac:dyDescent="0.25">
      <c r="A98" s="20" t="str">
        <f t="array" aca="1" ref="A98" ca="1">IFERROR(INDEX((OFFSET(#REF!,$J$97,WEEKDAY(A$6),14,1)),SMALL(IF(ISTEXT((OFFSET(#REF!,$J$97,WEEKDAY(A$6),14,1))),ROW(B$1:B$14),""),ROW($A1))),"")</f>
        <v/>
      </c>
      <c r="B98" s="20" t="str">
        <f t="array" aca="1" ref="B98" ca="1">IFERROR(INDEX((OFFSET(#REF!,$J$97,WEEKDAY(B$6),14,1)),SMALL(IF(ISTEXT((OFFSET(#REF!,$J$97,WEEKDAY(B$6),14,1))),ROW(C$1:C$14),""),ROW($A1))),"")</f>
        <v/>
      </c>
      <c r="C98" s="20" t="str">
        <f t="array" aca="1" ref="C98" ca="1">IFERROR(INDEX((OFFSET(#REF!,$J$97,WEEKDAY(C$6),14,1)),SMALL(IF(ISTEXT((OFFSET(#REF!,$J$97,WEEKDAY(C$6),14,1))),ROW(D$1:D$14),""),ROW($A1))),"")</f>
        <v/>
      </c>
      <c r="D98" s="20" t="str">
        <f t="array" aca="1" ref="D98" ca="1">IFERROR(INDEX((OFFSET(#REF!,$J$97,WEEKDAY(D$6),14,1)),SMALL(IF(ISTEXT((OFFSET(#REF!,$J$97,WEEKDAY(D$6),14,1))),ROW(E$1:E$14),""),ROW($A1))),"")</f>
        <v/>
      </c>
      <c r="E98" s="20" t="str">
        <f t="array" aca="1" ref="E98" ca="1">IFERROR(INDEX((OFFSET(#REF!,$J$97,WEEKDAY(E$6),14,1)),SMALL(IF(ISTEXT((OFFSET(#REF!,$J$97,WEEKDAY(E$6),14,1))),ROW(F$1:F$14),""),ROW($A1))),"")</f>
        <v/>
      </c>
      <c r="F98" s="20" t="str">
        <f t="array" aca="1" ref="F98" ca="1">IFERROR(INDEX((OFFSET(#REF!,$J$97,WEEKDAY(F$6),14,1)),SMALL(IF(ISTEXT((OFFSET(#REF!,$J$97,WEEKDAY(F$6),14,1))),ROW(G$1:G$14),""),ROW($A1))),"")</f>
        <v/>
      </c>
      <c r="G98" s="20" t="str">
        <f t="array" aca="1" ref="G98" ca="1">IFERROR(INDEX((OFFSET(#REF!,$J$97,WEEKDAY(G$6),14,1)),SMALL(IF(ISTEXT((OFFSET(#REF!,$J$97,WEEKDAY(G$6),14,1))),ROW(H$1:H$14),""),ROW($A1))),"")</f>
        <v/>
      </c>
    </row>
    <row r="99" spans="1:10" x14ac:dyDescent="0.25">
      <c r="A99" s="20" t="str">
        <f t="array" aca="1" ref="A99" ca="1">IFERROR(INDEX((OFFSET(#REF!,$J$97,WEEKDAY(A$6),14,1)),SMALL(IF(ISTEXT((OFFSET(#REF!,$J$97,WEEKDAY(A$6),14,1))),ROW(B$1:B$14),""),ROW($A2))),"")</f>
        <v/>
      </c>
      <c r="B99" s="20" t="str">
        <f t="array" aca="1" ref="B99" ca="1">IFERROR(INDEX((OFFSET(#REF!,$J$97,WEEKDAY(B$6),14,1)),SMALL(IF(ISTEXT((OFFSET(#REF!,$J$97,WEEKDAY(B$6),14,1))),ROW(C$1:C$14),""),ROW($A2))),"")</f>
        <v/>
      </c>
      <c r="C99" s="20" t="str">
        <f t="array" aca="1" ref="C99" ca="1">IFERROR(INDEX((OFFSET(#REF!,$J$97,WEEKDAY(C$6),14,1)),SMALL(IF(ISTEXT((OFFSET(#REF!,$J$97,WEEKDAY(C$6),14,1))),ROW(D$1:D$14),""),ROW($A2))),"")</f>
        <v/>
      </c>
      <c r="D99" s="20" t="str">
        <f t="array" aca="1" ref="D99" ca="1">IFERROR(INDEX((OFFSET(#REF!,$J$97,WEEKDAY(D$6),14,1)),SMALL(IF(ISTEXT((OFFSET(#REF!,$J$97,WEEKDAY(D$6),14,1))),ROW(E$1:E$14),""),ROW($A2))),"")</f>
        <v/>
      </c>
      <c r="E99" s="20" t="str">
        <f t="array" aca="1" ref="E99" ca="1">IFERROR(INDEX((OFFSET(#REF!,$J$97,WEEKDAY(E$6),14,1)),SMALL(IF(ISTEXT((OFFSET(#REF!,$J$97,WEEKDAY(E$6),14,1))),ROW(F$1:F$14),""),ROW($A2))),"")</f>
        <v/>
      </c>
      <c r="F99" s="20" t="str">
        <f t="array" aca="1" ref="F99" ca="1">IFERROR(INDEX((OFFSET(#REF!,$J$97,WEEKDAY(F$6),14,1)),SMALL(IF(ISTEXT((OFFSET(#REF!,$J$97,WEEKDAY(F$6),14,1))),ROW(G$1:G$14),""),ROW($A2))),"")</f>
        <v/>
      </c>
      <c r="G99" s="20" t="str">
        <f t="array" aca="1" ref="G99" ca="1">IFERROR(INDEX((OFFSET(#REF!,$J$97,WEEKDAY(G$6),14,1)),SMALL(IF(ISTEXT((OFFSET(#REF!,$J$97,WEEKDAY(G$6),14,1))),ROW(H$1:H$14),""),ROW($A2))),"")</f>
        <v/>
      </c>
    </row>
    <row r="100" spans="1:10" x14ac:dyDescent="0.25">
      <c r="A100" s="20" t="str">
        <f t="array" aca="1" ref="A100" ca="1">IFERROR(INDEX((OFFSET(#REF!,$J$97,WEEKDAY(A$6),14,1)),SMALL(IF(ISTEXT((OFFSET(#REF!,$J$97,WEEKDAY(A$6),14,1))),ROW(B$1:B$14),""),ROW($A3))),"")</f>
        <v/>
      </c>
      <c r="B100" s="20" t="str">
        <f t="array" aca="1" ref="B100" ca="1">IFERROR(INDEX((OFFSET(#REF!,$J$97,WEEKDAY(B$6),14,1)),SMALL(IF(ISTEXT((OFFSET(#REF!,$J$97,WEEKDAY(B$6),14,1))),ROW(C$1:C$14),""),ROW($A3))),"")</f>
        <v/>
      </c>
      <c r="C100" s="20" t="str">
        <f t="array" aca="1" ref="C100" ca="1">IFERROR(INDEX((OFFSET(#REF!,$J$97,WEEKDAY(C$6),14,1)),SMALL(IF(ISTEXT((OFFSET(#REF!,$J$97,WEEKDAY(C$6),14,1))),ROW(D$1:D$14),""),ROW($A3))),"")</f>
        <v/>
      </c>
      <c r="D100" s="20" t="str">
        <f t="array" aca="1" ref="D100" ca="1">IFERROR(INDEX((OFFSET(#REF!,$J$97,WEEKDAY(D$6),14,1)),SMALL(IF(ISTEXT((OFFSET(#REF!,$J$97,WEEKDAY(D$6),14,1))),ROW(E$1:E$14),""),ROW($A3))),"")</f>
        <v/>
      </c>
      <c r="E100" s="20" t="str">
        <f t="array" aca="1" ref="E100" ca="1">IFERROR(INDEX((OFFSET(#REF!,$J$97,WEEKDAY(E$6),14,1)),SMALL(IF(ISTEXT((OFFSET(#REF!,$J$97,WEEKDAY(E$6),14,1))),ROW(F$1:F$14),""),ROW($A3))),"")</f>
        <v/>
      </c>
      <c r="F100" s="20" t="str">
        <f t="array" aca="1" ref="F100" ca="1">IFERROR(INDEX((OFFSET(#REF!,$J$97,WEEKDAY(F$6),14,1)),SMALL(IF(ISTEXT((OFFSET(#REF!,$J$97,WEEKDAY(F$6),14,1))),ROW(G$1:G$14),""),ROW($A3))),"")</f>
        <v/>
      </c>
      <c r="G100" s="20" t="str">
        <f t="array" aca="1" ref="G100" ca="1">IFERROR(INDEX((OFFSET(#REF!,$J$97,WEEKDAY(G$6),14,1)),SMALL(IF(ISTEXT((OFFSET(#REF!,$J$97,WEEKDAY(G$6),14,1))),ROW(H$1:H$14),""),ROW($A3))),"")</f>
        <v/>
      </c>
    </row>
    <row r="103" spans="1:10" x14ac:dyDescent="0.25">
      <c r="A103" s="5"/>
      <c r="E103" s="5"/>
      <c r="F103" s="5"/>
      <c r="G103" s="5"/>
    </row>
    <row r="104" spans="1:10" x14ac:dyDescent="0.25">
      <c r="A104" s="5"/>
      <c r="B104" s="5"/>
      <c r="C104" s="5"/>
      <c r="D104" s="5"/>
      <c r="E104" s="5"/>
      <c r="F104" s="5"/>
      <c r="G104" s="5"/>
    </row>
  </sheetData>
  <mergeCells count="5">
    <mergeCell ref="L7:M7"/>
    <mergeCell ref="L8:L9"/>
    <mergeCell ref="M8:M9"/>
    <mergeCell ref="N8:N9"/>
    <mergeCell ref="L6:N6"/>
  </mergeCells>
  <conditionalFormatting sqref="A7:G101">
    <cfRule type="expression" dxfId="18" priority="1">
      <formula>AND(A7=$L$8,$L$8&lt;&gt;"")</formula>
    </cfRule>
    <cfRule type="expression" dxfId="17" priority="120">
      <formula>MONTH(A7)=$B$3+3</formula>
    </cfRule>
    <cfRule type="expression" dxfId="16" priority="121">
      <formula>MONTH(A7)=$B$3+2</formula>
    </cfRule>
    <cfRule type="expression" dxfId="15" priority="122">
      <formula>MONTH(A7)=$B$3+1</formula>
    </cfRule>
    <cfRule type="expression" dxfId="14" priority="123">
      <formula>AND(MONTH(A7)=$B$3,MOD(ROW(),5)=2)</formula>
    </cfRule>
  </conditionalFormatting>
  <conditionalFormatting sqref="M10:N23">
    <cfRule type="expression" dxfId="13" priority="10">
      <formula>$M10&lt;&gt;""</formula>
    </cfRule>
  </conditionalFormatting>
  <conditionalFormatting sqref="N10:N23">
    <cfRule type="cellIs" dxfId="12" priority="8" operator="lessThan">
      <formula>0</formula>
    </cfRule>
  </conditionalFormatting>
  <conditionalFormatting sqref="A8:G101">
    <cfRule type="expression" dxfId="11" priority="2">
      <formula>AND(MOD(ROW(),5)=3,OR(A7=Holidays))</formula>
    </cfRule>
    <cfRule type="expression" dxfId="10" priority="7">
      <formula>AND(MOD(ROW(),5)=3,WEEKDAY(A7,2)&gt;5,AND(A7&lt;&gt;Holidays))</formula>
    </cfRule>
  </conditionalFormatting>
  <conditionalFormatting sqref="A9:G101">
    <cfRule type="expression" dxfId="9" priority="3">
      <formula>AND(MOD(ROW(),5)=4,OR(A7=Holidays))</formula>
    </cfRule>
    <cfRule type="expression" dxfId="8" priority="6">
      <formula>AND(MOD(ROW(),5)=4,WEEKDAY(A7,2)&gt;4,AND(A7&lt;&gt;Holidays))</formula>
    </cfRule>
  </conditionalFormatting>
  <conditionalFormatting sqref="A10:G101">
    <cfRule type="expression" dxfId="7" priority="4">
      <formula>AND(MOD(ROW(),5)=0,OR(A7=Holidays))</formula>
    </cfRule>
    <cfRule type="expression" dxfId="6" priority="5">
      <formula>AND(MOD(ROW(),5)=0,WEEKDAY(A7,2)&gt;4,AND(A7&lt;&gt;Holidays))</formula>
    </cfRule>
  </conditionalFormatting>
  <dataValidations count="12">
    <dataValidation type="list" allowBlank="1" showInputMessage="1" showErrorMessage="1" sqref="F38 F23 F28 F33 F43 F48 F53 F58 F63 F68 F73 F78 F83 F88 F93 B88:E90 F18 B53:E55 F13 B8:E10 B78:E80 B13:E15 B58:E60 B18:E20 F8 B23:E25 B63:E65 B28:E30 B83:E85 B33:E35 B68:E70 B38:E40 B93:E95 B43:E45 B73:E75 B48:E50" xr:uid="{00000000-0002-0000-0000-000000000000}">
      <formula1>Doctors</formula1>
    </dataValidation>
    <dataValidation type="list" allowBlank="1" showInputMessage="1" showErrorMessage="1" promptTitle="Warning" prompt="The affiliated Sunday evening shift will not automatically change." sqref="G93 G88 G83 G78 G73 G68 G63 G58 G53 G48 G43 G38 G33 G28 G23 G18 G13 G8 G98" xr:uid="{00000000-0002-0000-0000-000003000000}">
      <formula1>Doctors</formula1>
    </dataValidation>
    <dataValidation type="list" allowBlank="1" showInputMessage="1" showErrorMessage="1" promptTitle="Warning" prompt="The affiliated Saturday day shift will not automatically change." sqref="A94 A89 A84 A79 A74 A69 A64 A59 A54 A49 A44 A39 A34 A29 A24 A19 A14 A9 A99" xr:uid="{00000000-0002-0000-0000-000005000000}">
      <formula1>Doctors</formula1>
    </dataValidation>
    <dataValidation type="list" allowBlank="1" showInputMessage="1" showErrorMessage="1" promptTitle="Warning" prompt="The affiliated Friday evening shift will not automatically change." sqref="G95 G90 G85 G80 G75 G70 G65 G60 G55 G50 G45 G40 G35 G30 G25 G20 G15 G10" xr:uid="{6624CCBD-7DDE-4BBA-B72A-8698B0EE0B4D}">
      <formula1>Doctors</formula1>
    </dataValidation>
    <dataValidation type="list" allowBlank="1" showInputMessage="1" showErrorMessage="1" sqref="L8:L9" xr:uid="{CD5FCA79-5754-4756-B725-7BAD15180F1B}">
      <formula1>Doctors1</formula1>
    </dataValidation>
    <dataValidation type="list" allowBlank="1" showErrorMessage="1" promptTitle="Warning" prompt="." sqref="B98:E100 F98" xr:uid="{59065FC2-C4A1-4734-90D5-025B23158CBC}">
      <formula1>Doctors</formula1>
    </dataValidation>
    <dataValidation type="list" allowBlank="1" showInputMessage="1" showErrorMessage="1" promptTitle="Warning" prompt="The affiliated Saturday overnight shift will not automatically change." sqref="F99 F94 F89 F84 F79 F74 F69 F64 F59 F54 F49 F44 F39 F34 F29 F24 F19 F14 F9" xr:uid="{5DA7639A-9CB4-41AA-8F14-E0EF04D9BBA8}">
      <formula1>Doctors</formula1>
    </dataValidation>
    <dataValidation type="list" allowBlank="1" showInputMessage="1" showErrorMessage="1" promptTitle="Warning" prompt="The affiliated Sunday day shift will not automatically change." sqref="F100" xr:uid="{BFC5AC5A-BC18-4B0E-98C0-9B5C77FC53EC}">
      <formula1>Doctors</formula1>
    </dataValidation>
    <dataValidation type="list" allowBlank="1" showInputMessage="1" showErrorMessage="1" promptTitle="Warning" prompt="The affiliated Sunday overnight shift will not automatically change." sqref="G99 G94 G89 G84 G79 G74 G69 G64 G59 G54 G49 G44 G39 G34 G29 G24 G19 G14 G9" xr:uid="{D2BE2FCA-AA36-496D-AD06-121770E8F642}">
      <formula1>Doctors</formula1>
    </dataValidation>
    <dataValidation type="list" allowBlank="1" showInputMessage="1" showErrorMessage="1" promptTitle="Warning" prompt="The affiliated Friday overnight shift will not automatically change." sqref="G100 A98 A93 A88 A83 A78 A73 A68 A63 A58 A53 A48 A43 A38 A33 A28 A23 A18 A13 A8" xr:uid="{EB8A8F30-F061-4EF0-A6A1-CA4B7C5E8F7E}">
      <formula1>Doctors</formula1>
    </dataValidation>
    <dataValidation type="list" allowBlank="1" showInputMessage="1" showErrorMessage="1" promptTitle="Warning" prompt="The affiliated Saturday evening shift will not automatically change." sqref="A100 A95 A90 A85 A80 A75 A70 A65 A60 A55 A50 A45 A40 A35 A30 A25 A20 A15 A10" xr:uid="{CB483671-B68C-4E11-AC29-42F68E64D3DC}">
      <formula1>Doctors</formula1>
    </dataValidation>
    <dataValidation type="list" allowBlank="1" showInputMessage="1" showErrorMessage="1" promptTitle="Warning" prompt="The affliliated Sunday day shift will not automatically change." sqref="F95 F90 F85 F80 F75 F70 F65 F60 F55 F50 F45 F40 F35 F30 F25 F20 F15 F10" xr:uid="{B2BFCF4D-1687-487F-9FB0-544068428EDA}">
      <formula1>Doctors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D37847A9-E0E2-4CB0-865C-7B3037712A1E}">
            <xm:f>AND(A7&lt;&gt;Master1!A2,A7="")</xm:f>
            <x14:dxf>
              <fill>
                <patternFill>
                  <bgColor rgb="FF00FFFF"/>
                </patternFill>
              </fill>
            </x14:dxf>
          </x14:cfRule>
          <xm:sqref>A7:G101</xm:sqref>
        </x14:conditionalFormatting>
        <x14:conditionalFormatting xmlns:xm="http://schemas.microsoft.com/office/excel/2006/main">
          <x14:cfRule type="expression" priority="108" id="{CC161412-1477-43D2-9A4D-7EACEF51ABA3}">
            <xm:f>AND(A7&lt;&gt;Master1!A2,A7&lt;&gt;"")</xm:f>
            <x14:dxf>
              <fill>
                <patternFill>
                  <bgColor rgb="FF92D050"/>
                </patternFill>
              </fill>
            </x14:dxf>
          </x14:cfRule>
          <xm:sqref>A7:G101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1"/>
  <sheetViews>
    <sheetView workbookViewId="0">
      <selection activeCell="A2" sqref="A2:G95"/>
    </sheetView>
  </sheetViews>
  <sheetFormatPr defaultRowHeight="15" x14ac:dyDescent="0.25"/>
  <sheetData>
    <row r="1" spans="1:7" x14ac:dyDescent="0.25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49"/>
  <sheetViews>
    <sheetView workbookViewId="0">
      <pane ySplit="1" topLeftCell="A2" activePane="bottomLeft" state="frozen"/>
      <selection pane="bottomLeft" activeCell="D48" sqref="D48"/>
    </sheetView>
  </sheetViews>
  <sheetFormatPr defaultRowHeight="15" x14ac:dyDescent="0.25"/>
  <cols>
    <col min="1" max="1" width="20.85546875" customWidth="1"/>
  </cols>
  <sheetData>
    <row r="1" spans="1:19" s="13" customFormat="1" x14ac:dyDescent="0.25">
      <c r="B1" s="13" t="e">
        <f t="array" ref="B1:R1">TRANSPOSE(Doctors)</f>
        <v>#REF!</v>
      </c>
      <c r="C1" s="13">
        <v>0</v>
      </c>
      <c r="D1" s="13">
        <v>0</v>
      </c>
      <c r="E1" s="13">
        <v>0</v>
      </c>
      <c r="F1" s="13">
        <v>0</v>
      </c>
      <c r="G1" s="13">
        <v>0</v>
      </c>
      <c r="H1" s="13">
        <v>0</v>
      </c>
      <c r="I1" s="13">
        <v>0</v>
      </c>
      <c r="J1" s="13">
        <v>0</v>
      </c>
      <c r="K1" s="13">
        <v>0</v>
      </c>
      <c r="L1" s="13">
        <v>0</v>
      </c>
      <c r="M1" s="13">
        <v>0</v>
      </c>
      <c r="N1" s="13">
        <v>0</v>
      </c>
      <c r="O1" s="13">
        <v>0</v>
      </c>
      <c r="P1" s="13">
        <v>0</v>
      </c>
      <c r="Q1" s="13">
        <v>0</v>
      </c>
      <c r="R1" s="13">
        <v>0</v>
      </c>
    </row>
    <row r="2" spans="1:19" x14ac:dyDescent="0.25">
      <c r="A2" s="7" t="s">
        <v>19</v>
      </c>
    </row>
    <row r="3" spans="1:19" x14ac:dyDescent="0.25">
      <c r="A3" s="8" t="s">
        <v>3</v>
      </c>
      <c r="B3" t="e" cm="1">
        <f t="array" aca="1" ref="B3" ca="1">SUM((MOD(ROW(Swap!$A$8:$A105),5)=3)*(WEEKDAY(Swap!$A$7:$G$7,2)&lt;6)*(NOT(ISNUMBER(Calendar!$K1:$Q98))*(Swap!$A8:$G105=B$1)))</f>
        <v>#REF!</v>
      </c>
      <c r="C3" cm="1">
        <f t="array" aca="1" ref="C3" ca="1">SUM((MOD(ROW(Swap!$A$8:$A105),5)=3)*(WEEKDAY(Swap!$A$7:$G$7,2)&lt;6)*(NOT(ISNUMBER(Calendar!$K1:$Q98))*(Swap!$A8:$G105=C$1)))</f>
        <v>5</v>
      </c>
      <c r="D3" cm="1">
        <f t="array" aca="1" ref="D3" ca="1">SUM((MOD(ROW(Swap!$A$8:$A105),5)=3)*(WEEKDAY(Swap!$A$7:$G$7,2)&lt;6)*(NOT(ISNUMBER(Calendar!$K1:$Q98))*(Swap!$A8:$G105=D$1)))</f>
        <v>5</v>
      </c>
      <c r="E3" cm="1">
        <f t="array" aca="1" ref="E3" ca="1">SUM((MOD(ROW(Swap!$A$8:$A105),5)=3)*(WEEKDAY(Swap!$A$7:$G$7,2)&lt;6)*(NOT(ISNUMBER(Calendar!$K1:$Q98))*(Swap!$A8:$G105=E$1)))</f>
        <v>5</v>
      </c>
      <c r="F3" cm="1">
        <f t="array" aca="1" ref="F3" ca="1">SUM((MOD(ROW(Swap!$A$8:$A105),5)=3)*(WEEKDAY(Swap!$A$7:$G$7,2)&lt;6)*(NOT(ISNUMBER(Calendar!$K1:$Q98))*(Swap!$A8:$G105=F$1)))</f>
        <v>5</v>
      </c>
      <c r="G3" cm="1">
        <f t="array" aca="1" ref="G3" ca="1">SUM((MOD(ROW(Swap!$A$8:$A105),5)=3)*(WEEKDAY(Swap!$A$7:$G$7,2)&lt;6)*(NOT(ISNUMBER(Calendar!$K1:$Q98))*(Swap!$A8:$G105=G$1)))</f>
        <v>5</v>
      </c>
      <c r="H3" cm="1">
        <f t="array" aca="1" ref="H3" ca="1">SUM((MOD(ROW(Swap!$A$8:$A105),5)=3)*(WEEKDAY(Swap!$A$7:$G$7,2)&lt;6)*(NOT(ISNUMBER(Calendar!$K1:$Q98))*(Swap!$A8:$G105=H$1)))</f>
        <v>5</v>
      </c>
      <c r="I3" cm="1">
        <f t="array" aca="1" ref="I3" ca="1">SUM((MOD(ROW(Swap!$A$8:$A105),5)=3)*(WEEKDAY(Swap!$A$7:$G$7,2)&lt;6)*(NOT(ISNUMBER(Calendar!$K1:$Q98))*(Swap!$A8:$G105=I$1)))</f>
        <v>5</v>
      </c>
      <c r="J3" cm="1">
        <f t="array" aca="1" ref="J3" ca="1">SUM((MOD(ROW(Swap!$A$8:$A105),5)=3)*(WEEKDAY(Swap!$A$7:$G$7,2)&lt;6)*(NOT(ISNUMBER(Calendar!$K1:$Q98))*(Swap!$A8:$G105=J$1)))</f>
        <v>5</v>
      </c>
      <c r="K3" cm="1">
        <f t="array" aca="1" ref="K3" ca="1">SUM((MOD(ROW(Swap!$A$8:$A105),5)=3)*(WEEKDAY(Swap!$A$7:$G$7,2)&lt;6)*(NOT(ISNUMBER(Calendar!$K1:$Q98))*(Swap!$A8:$G105=K$1)))</f>
        <v>5</v>
      </c>
      <c r="L3" cm="1">
        <f t="array" aca="1" ref="L3" ca="1">SUM((MOD(ROW(Swap!$A$8:$A105),5)=3)*(WEEKDAY(Swap!$A$7:$G$7,2)&lt;6)*(NOT(ISNUMBER(Calendar!$K1:$Q98))*(Swap!$A8:$G105=L$1)))</f>
        <v>5</v>
      </c>
      <c r="M3" cm="1">
        <f t="array" aca="1" ref="M3" ca="1">SUM((MOD(ROW(Swap!$A$8:$A105),5)=3)*(WEEKDAY(Swap!$A$7:$G$7,2)&lt;6)*(NOT(ISNUMBER(Calendar!$K1:$Q98))*(Swap!$A8:$G105=M$1)))</f>
        <v>5</v>
      </c>
      <c r="N3" cm="1">
        <f t="array" aca="1" ref="N3" ca="1">SUM((MOD(ROW(Swap!$A$8:$A105),5)=3)*(WEEKDAY(Swap!$A$7:$G$7,2)&lt;6)*(NOT(ISNUMBER(Calendar!$K1:$Q98))*(Swap!$A8:$G105=N$1)))</f>
        <v>5</v>
      </c>
      <c r="O3" cm="1">
        <f t="array" aca="1" ref="O3" ca="1">SUM((MOD(ROW(Swap!$A$8:$A105),5)=3)*(WEEKDAY(Swap!$A$7:$G$7,2)&lt;6)*(NOT(ISNUMBER(Calendar!$K1:$Q98))*(Swap!$A8:$G105=O$1)))</f>
        <v>5</v>
      </c>
      <c r="P3" cm="1">
        <f t="array" aca="1" ref="P3" ca="1">SUM((MOD(ROW(Swap!$A$8:$A105),5)=3)*(WEEKDAY(Swap!$A$7:$G$7,2)&lt;6)*(NOT(ISNUMBER(Calendar!$K1:$Q98))*(Swap!$A8:$G105=P$1)))</f>
        <v>5</v>
      </c>
      <c r="Q3" cm="1">
        <f t="array" aca="1" ref="Q3" ca="1">SUM((MOD(ROW(Swap!$A$8:$A105),5)=3)*(WEEKDAY(Swap!$A$7:$G$7,2)&lt;6)*(NOT(ISNUMBER(Calendar!$K1:$Q98))*(Swap!$A8:$G105=Q$1)))</f>
        <v>5</v>
      </c>
      <c r="R3" cm="1">
        <f t="array" aca="1" ref="R3" ca="1">SUM((MOD(ROW(Swap!$A$8:$A105),5)=3)*(WEEKDAY(Swap!$A$7:$G$7,2)&lt;6)*(NOT(ISNUMBER(Calendar!$K1:$Q98))*(Swap!$A8:$G105=R$1)))</f>
        <v>5</v>
      </c>
      <c r="S3" t="e">
        <f ca="1">SUM(B3:R3)</f>
        <v>#REF!</v>
      </c>
    </row>
    <row r="4" spans="1:19" x14ac:dyDescent="0.25">
      <c r="A4" t="s">
        <v>4</v>
      </c>
      <c r="B4" t="e" cm="1">
        <f t="array" aca="1" ref="B4" ca="1">SUM((MOD(ROW(Swap!$A$9:$A106),5)=4)*(WEEKDAY(Swap!$A$7:$G$7,2)&lt;5)*(NOT(ISNUMBER(Calendar!$K2:$Q99))*(Swap!$A9:$G106=B$1)))</f>
        <v>#REF!</v>
      </c>
      <c r="C4" cm="1">
        <f t="array" aca="1" ref="C4" ca="1">SUM((MOD(ROW(Swap!$A$9:$A106),5)=4)*(WEEKDAY(Swap!$A$7:$G$7,2)&lt;5)*(NOT(ISNUMBER(Calendar!$K2:$Q99))*(Swap!$A9:$G106=C$1)))</f>
        <v>4</v>
      </c>
      <c r="D4" cm="1">
        <f t="array" aca="1" ref="D4" ca="1">SUM((MOD(ROW(Swap!$A$9:$A106),5)=4)*(WEEKDAY(Swap!$A$7:$G$7,2)&lt;5)*(NOT(ISNUMBER(Calendar!$K2:$Q99))*(Swap!$A9:$G106=D$1)))</f>
        <v>4</v>
      </c>
      <c r="E4" cm="1">
        <f t="array" aca="1" ref="E4" ca="1">SUM((MOD(ROW(Swap!$A$9:$A106),5)=4)*(WEEKDAY(Swap!$A$7:$G$7,2)&lt;5)*(NOT(ISNUMBER(Calendar!$K2:$Q99))*(Swap!$A9:$G106=E$1)))</f>
        <v>4</v>
      </c>
      <c r="F4" cm="1">
        <f t="array" aca="1" ref="F4" ca="1">SUM((MOD(ROW(Swap!$A$9:$A106),5)=4)*(WEEKDAY(Swap!$A$7:$G$7,2)&lt;5)*(NOT(ISNUMBER(Calendar!$K2:$Q99))*(Swap!$A9:$G106=F$1)))</f>
        <v>4</v>
      </c>
      <c r="G4" cm="1">
        <f t="array" aca="1" ref="G4" ca="1">SUM((MOD(ROW(Swap!$A$9:$A106),5)=4)*(WEEKDAY(Swap!$A$7:$G$7,2)&lt;5)*(NOT(ISNUMBER(Calendar!$K2:$Q99))*(Swap!$A9:$G106=G$1)))</f>
        <v>4</v>
      </c>
      <c r="H4" cm="1">
        <f t="array" aca="1" ref="H4" ca="1">SUM((MOD(ROW(Swap!$A$9:$A106),5)=4)*(WEEKDAY(Swap!$A$7:$G$7,2)&lt;5)*(NOT(ISNUMBER(Calendar!$K2:$Q99))*(Swap!$A9:$G106=H$1)))</f>
        <v>4</v>
      </c>
      <c r="I4" cm="1">
        <f t="array" aca="1" ref="I4" ca="1">SUM((MOD(ROW(Swap!$A$9:$A106),5)=4)*(WEEKDAY(Swap!$A$7:$G$7,2)&lt;5)*(NOT(ISNUMBER(Calendar!$K2:$Q99))*(Swap!$A9:$G106=I$1)))</f>
        <v>4</v>
      </c>
      <c r="J4" cm="1">
        <f t="array" aca="1" ref="J4" ca="1">SUM((MOD(ROW(Swap!$A$9:$A106),5)=4)*(WEEKDAY(Swap!$A$7:$G$7,2)&lt;5)*(NOT(ISNUMBER(Calendar!$K2:$Q99))*(Swap!$A9:$G106=J$1)))</f>
        <v>4</v>
      </c>
      <c r="K4" cm="1">
        <f t="array" aca="1" ref="K4" ca="1">SUM((MOD(ROW(Swap!$A$9:$A106),5)=4)*(WEEKDAY(Swap!$A$7:$G$7,2)&lt;5)*(NOT(ISNUMBER(Calendar!$K2:$Q99))*(Swap!$A9:$G106=K$1)))</f>
        <v>4</v>
      </c>
      <c r="L4" cm="1">
        <f t="array" aca="1" ref="L4" ca="1">SUM((MOD(ROW(Swap!$A$9:$A106),5)=4)*(WEEKDAY(Swap!$A$7:$G$7,2)&lt;5)*(NOT(ISNUMBER(Calendar!$K2:$Q99))*(Swap!$A9:$G106=L$1)))</f>
        <v>4</v>
      </c>
      <c r="M4" cm="1">
        <f t="array" aca="1" ref="M4" ca="1">SUM((MOD(ROW(Swap!$A$9:$A106),5)=4)*(WEEKDAY(Swap!$A$7:$G$7,2)&lt;5)*(NOT(ISNUMBER(Calendar!$K2:$Q99))*(Swap!$A9:$G106=M$1)))</f>
        <v>4</v>
      </c>
      <c r="N4" cm="1">
        <f t="array" aca="1" ref="N4" ca="1">SUM((MOD(ROW(Swap!$A$9:$A106),5)=4)*(WEEKDAY(Swap!$A$7:$G$7,2)&lt;5)*(NOT(ISNUMBER(Calendar!$K2:$Q99))*(Swap!$A9:$G106=N$1)))</f>
        <v>4</v>
      </c>
      <c r="O4" cm="1">
        <f t="array" aca="1" ref="O4" ca="1">SUM((MOD(ROW(Swap!$A$9:$A106),5)=4)*(WEEKDAY(Swap!$A$7:$G$7,2)&lt;5)*(NOT(ISNUMBER(Calendar!$K2:$Q99))*(Swap!$A9:$G106=O$1)))</f>
        <v>4</v>
      </c>
      <c r="P4" cm="1">
        <f t="array" aca="1" ref="P4" ca="1">SUM((MOD(ROW(Swap!$A$9:$A106),5)=4)*(WEEKDAY(Swap!$A$7:$G$7,2)&lt;5)*(NOT(ISNUMBER(Calendar!$K2:$Q99))*(Swap!$A9:$G106=P$1)))</f>
        <v>4</v>
      </c>
      <c r="Q4" cm="1">
        <f t="array" aca="1" ref="Q4" ca="1">SUM((MOD(ROW(Swap!$A$9:$A106),5)=4)*(WEEKDAY(Swap!$A$7:$G$7,2)&lt;5)*(NOT(ISNUMBER(Calendar!$K2:$Q99))*(Swap!$A9:$G106=Q$1)))</f>
        <v>4</v>
      </c>
      <c r="R4" cm="1">
        <f t="array" aca="1" ref="R4" ca="1">SUM((MOD(ROW(Swap!$A$9:$A106),5)=4)*(WEEKDAY(Swap!$A$7:$G$7,2)&lt;5)*(NOT(ISNUMBER(Calendar!$K2:$Q99))*(Swap!$A9:$G106=R$1)))</f>
        <v>4</v>
      </c>
      <c r="S4" t="e">
        <f t="shared" ref="S4:S17" ca="1" si="0">SUM(B4:R4)</f>
        <v>#REF!</v>
      </c>
    </row>
    <row r="5" spans="1:19" x14ac:dyDescent="0.25">
      <c r="A5" t="s">
        <v>5</v>
      </c>
      <c r="B5" t="e" cm="1">
        <f t="array" aca="1" ref="B5" ca="1">SUM((MOD(ROW(Swap!$A$10:$A107),5)=0)*(WEEKDAY(Swap!$A$7:$G$7,2)&lt;5)*(NOT(ISNUMBER(Calendar!$K3:$Q100)))*(Swap!$A10:$G107=B$1))</f>
        <v>#REF!</v>
      </c>
      <c r="C5" cm="1">
        <f t="array" aca="1" ref="C5" ca="1">SUM((MOD(ROW(Swap!$A$10:$A107),5)=0)*(WEEKDAY(Swap!$A$7:$G$7,2)&lt;5)*(NOT(ISNUMBER(Calendar!$K3:$Q100)))*(Swap!$A10:$G107=C$1))</f>
        <v>4</v>
      </c>
      <c r="D5" cm="1">
        <f t="array" aca="1" ref="D5" ca="1">SUM((MOD(ROW(Swap!$A$10:$A107),5)=0)*(WEEKDAY(Swap!$A$7:$G$7,2)&lt;5)*(NOT(ISNUMBER(Calendar!$K3:$Q100)))*(Swap!$A10:$G107=D$1))</f>
        <v>4</v>
      </c>
      <c r="E5" cm="1">
        <f t="array" aca="1" ref="E5" ca="1">SUM((MOD(ROW(Swap!$A$10:$A107),5)=0)*(WEEKDAY(Swap!$A$7:$G$7,2)&lt;5)*(NOT(ISNUMBER(Calendar!$K3:$Q100)))*(Swap!$A10:$G107=E$1))</f>
        <v>4</v>
      </c>
      <c r="F5" cm="1">
        <f t="array" aca="1" ref="F5" ca="1">SUM((MOD(ROW(Swap!$A$10:$A107),5)=0)*(WEEKDAY(Swap!$A$7:$G$7,2)&lt;5)*(NOT(ISNUMBER(Calendar!$K3:$Q100)))*(Swap!$A10:$G107=F$1))</f>
        <v>4</v>
      </c>
      <c r="G5" cm="1">
        <f t="array" aca="1" ref="G5" ca="1">SUM((MOD(ROW(Swap!$A$10:$A107),5)=0)*(WEEKDAY(Swap!$A$7:$G$7,2)&lt;5)*(NOT(ISNUMBER(Calendar!$K3:$Q100)))*(Swap!$A10:$G107=G$1))</f>
        <v>4</v>
      </c>
      <c r="H5" cm="1">
        <f t="array" aca="1" ref="H5" ca="1">SUM((MOD(ROW(Swap!$A$10:$A107),5)=0)*(WEEKDAY(Swap!$A$7:$G$7,2)&lt;5)*(NOT(ISNUMBER(Calendar!$K3:$Q100)))*(Swap!$A10:$G107=H$1))</f>
        <v>4</v>
      </c>
      <c r="I5" cm="1">
        <f t="array" aca="1" ref="I5" ca="1">SUM((MOD(ROW(Swap!$A$10:$A107),5)=0)*(WEEKDAY(Swap!$A$7:$G$7,2)&lt;5)*(NOT(ISNUMBER(Calendar!$K3:$Q100)))*(Swap!$A10:$G107=I$1))</f>
        <v>4</v>
      </c>
      <c r="J5" cm="1">
        <f t="array" aca="1" ref="J5" ca="1">SUM((MOD(ROW(Swap!$A$10:$A107),5)=0)*(WEEKDAY(Swap!$A$7:$G$7,2)&lt;5)*(NOT(ISNUMBER(Calendar!$K3:$Q100)))*(Swap!$A10:$G107=J$1))</f>
        <v>4</v>
      </c>
      <c r="K5" cm="1">
        <f t="array" aca="1" ref="K5" ca="1">SUM((MOD(ROW(Swap!$A$10:$A107),5)=0)*(WEEKDAY(Swap!$A$7:$G$7,2)&lt;5)*(NOT(ISNUMBER(Calendar!$K3:$Q100)))*(Swap!$A10:$G107=K$1))</f>
        <v>4</v>
      </c>
      <c r="L5" cm="1">
        <f t="array" aca="1" ref="L5" ca="1">SUM((MOD(ROW(Swap!$A$10:$A107),5)=0)*(WEEKDAY(Swap!$A$7:$G$7,2)&lt;5)*(NOT(ISNUMBER(Calendar!$K3:$Q100)))*(Swap!$A10:$G107=L$1))</f>
        <v>4</v>
      </c>
      <c r="M5" cm="1">
        <f t="array" aca="1" ref="M5" ca="1">SUM((MOD(ROW(Swap!$A$10:$A107),5)=0)*(WEEKDAY(Swap!$A$7:$G$7,2)&lt;5)*(NOT(ISNUMBER(Calendar!$K3:$Q100)))*(Swap!$A10:$G107=M$1))</f>
        <v>4</v>
      </c>
      <c r="N5" cm="1">
        <f t="array" aca="1" ref="N5" ca="1">SUM((MOD(ROW(Swap!$A$10:$A107),5)=0)*(WEEKDAY(Swap!$A$7:$G$7,2)&lt;5)*(NOT(ISNUMBER(Calendar!$K3:$Q100)))*(Swap!$A10:$G107=N$1))</f>
        <v>4</v>
      </c>
      <c r="O5" cm="1">
        <f t="array" aca="1" ref="O5" ca="1">SUM((MOD(ROW(Swap!$A$10:$A107),5)=0)*(WEEKDAY(Swap!$A$7:$G$7,2)&lt;5)*(NOT(ISNUMBER(Calendar!$K3:$Q100)))*(Swap!$A10:$G107=O$1))</f>
        <v>4</v>
      </c>
      <c r="P5" cm="1">
        <f t="array" aca="1" ref="P5" ca="1">SUM((MOD(ROW(Swap!$A$10:$A107),5)=0)*(WEEKDAY(Swap!$A$7:$G$7,2)&lt;5)*(NOT(ISNUMBER(Calendar!$K3:$Q100)))*(Swap!$A10:$G107=P$1))</f>
        <v>4</v>
      </c>
      <c r="Q5" cm="1">
        <f t="array" aca="1" ref="Q5" ca="1">SUM((MOD(ROW(Swap!$A$10:$A107),5)=0)*(WEEKDAY(Swap!$A$7:$G$7,2)&lt;5)*(NOT(ISNUMBER(Calendar!$K3:$Q100)))*(Swap!$A10:$G107=Q$1))</f>
        <v>4</v>
      </c>
      <c r="R5" cm="1">
        <f t="array" aca="1" ref="R5" ca="1">SUM((MOD(ROW(Swap!$A$10:$A107),5)=0)*(WEEKDAY(Swap!$A$7:$G$7,2)&lt;5)*(NOT(ISNUMBER(Calendar!$K3:$Q100)))*(Swap!$A10:$G107=R$1))</f>
        <v>4</v>
      </c>
      <c r="S5" t="e">
        <f t="shared" ca="1" si="0"/>
        <v>#REF!</v>
      </c>
    </row>
    <row r="6" spans="1:19" x14ac:dyDescent="0.25">
      <c r="A6" t="s">
        <v>6</v>
      </c>
      <c r="B6" t="e" cm="1">
        <f t="array" aca="1" ref="B6" ca="1">SUM((MOD(ROW(Swap!$A$9:$A106),5)=4)*(WEEKDAY(Swap!$A$7:$G$7,2)=5)*(NOT(ISNUMBER(Calendar!$K2:$Q99)))*(Swap!$A9:$G106=B$1))</f>
        <v>#REF!</v>
      </c>
      <c r="C6" cm="1">
        <f t="array" aca="1" ref="C6" ca="1">SUM((MOD(ROW(Swap!$A$9:$A106),5)=4)*(WEEKDAY(Swap!$A$7:$G$7,2)=5)*(NOT(ISNUMBER(Calendar!$K2:$Q99)))*(Swap!$A9:$G106=C$1))</f>
        <v>1</v>
      </c>
      <c r="D6" cm="1">
        <f t="array" aca="1" ref="D6" ca="1">SUM((MOD(ROW(Swap!$A$9:$A106),5)=4)*(WEEKDAY(Swap!$A$7:$G$7,2)=5)*(NOT(ISNUMBER(Calendar!$K2:$Q99)))*(Swap!$A9:$G106=D$1))</f>
        <v>1</v>
      </c>
      <c r="E6" cm="1">
        <f t="array" aca="1" ref="E6" ca="1">SUM((MOD(ROW(Swap!$A$9:$A106),5)=4)*(WEEKDAY(Swap!$A$7:$G$7,2)=5)*(NOT(ISNUMBER(Calendar!$K2:$Q99)))*(Swap!$A9:$G106=E$1))</f>
        <v>1</v>
      </c>
      <c r="F6" cm="1">
        <f t="array" aca="1" ref="F6" ca="1">SUM((MOD(ROW(Swap!$A$9:$A106),5)=4)*(WEEKDAY(Swap!$A$7:$G$7,2)=5)*(NOT(ISNUMBER(Calendar!$K2:$Q99)))*(Swap!$A9:$G106=F$1))</f>
        <v>1</v>
      </c>
      <c r="G6" cm="1">
        <f t="array" aca="1" ref="G6" ca="1">SUM((MOD(ROW(Swap!$A$9:$A106),5)=4)*(WEEKDAY(Swap!$A$7:$G$7,2)=5)*(NOT(ISNUMBER(Calendar!$K2:$Q99)))*(Swap!$A9:$G106=G$1))</f>
        <v>1</v>
      </c>
      <c r="H6" cm="1">
        <f t="array" aca="1" ref="H6" ca="1">SUM((MOD(ROW(Swap!$A$9:$A106),5)=4)*(WEEKDAY(Swap!$A$7:$G$7,2)=5)*(NOT(ISNUMBER(Calendar!$K2:$Q99)))*(Swap!$A9:$G106=H$1))</f>
        <v>1</v>
      </c>
      <c r="I6" cm="1">
        <f t="array" aca="1" ref="I6" ca="1">SUM((MOD(ROW(Swap!$A$9:$A106),5)=4)*(WEEKDAY(Swap!$A$7:$G$7,2)=5)*(NOT(ISNUMBER(Calendar!$K2:$Q99)))*(Swap!$A9:$G106=I$1))</f>
        <v>1</v>
      </c>
      <c r="J6" cm="1">
        <f t="array" aca="1" ref="J6" ca="1">SUM((MOD(ROW(Swap!$A$9:$A106),5)=4)*(WEEKDAY(Swap!$A$7:$G$7,2)=5)*(NOT(ISNUMBER(Calendar!$K2:$Q99)))*(Swap!$A9:$G106=J$1))</f>
        <v>1</v>
      </c>
      <c r="K6" cm="1">
        <f t="array" aca="1" ref="K6" ca="1">SUM((MOD(ROW(Swap!$A$9:$A106),5)=4)*(WEEKDAY(Swap!$A$7:$G$7,2)=5)*(NOT(ISNUMBER(Calendar!$K2:$Q99)))*(Swap!$A9:$G106=K$1))</f>
        <v>1</v>
      </c>
      <c r="L6" cm="1">
        <f t="array" aca="1" ref="L6" ca="1">SUM((MOD(ROW(Swap!$A$9:$A106),5)=4)*(WEEKDAY(Swap!$A$7:$G$7,2)=5)*(NOT(ISNUMBER(Calendar!$K2:$Q99)))*(Swap!$A9:$G106=L$1))</f>
        <v>1</v>
      </c>
      <c r="M6" cm="1">
        <f t="array" aca="1" ref="M6" ca="1">SUM((MOD(ROW(Swap!$A$9:$A106),5)=4)*(WEEKDAY(Swap!$A$7:$G$7,2)=5)*(NOT(ISNUMBER(Calendar!$K2:$Q99)))*(Swap!$A9:$G106=M$1))</f>
        <v>1</v>
      </c>
      <c r="N6" cm="1">
        <f t="array" aca="1" ref="N6" ca="1">SUM((MOD(ROW(Swap!$A$9:$A106),5)=4)*(WEEKDAY(Swap!$A$7:$G$7,2)=5)*(NOT(ISNUMBER(Calendar!$K2:$Q99)))*(Swap!$A9:$G106=N$1))</f>
        <v>1</v>
      </c>
      <c r="O6" cm="1">
        <f t="array" aca="1" ref="O6" ca="1">SUM((MOD(ROW(Swap!$A$9:$A106),5)=4)*(WEEKDAY(Swap!$A$7:$G$7,2)=5)*(NOT(ISNUMBER(Calendar!$K2:$Q99)))*(Swap!$A9:$G106=O$1))</f>
        <v>1</v>
      </c>
      <c r="P6" cm="1">
        <f t="array" aca="1" ref="P6" ca="1">SUM((MOD(ROW(Swap!$A$9:$A106),5)=4)*(WEEKDAY(Swap!$A$7:$G$7,2)=5)*(NOT(ISNUMBER(Calendar!$K2:$Q99)))*(Swap!$A9:$G106=P$1))</f>
        <v>1</v>
      </c>
      <c r="Q6" cm="1">
        <f t="array" aca="1" ref="Q6" ca="1">SUM((MOD(ROW(Swap!$A$9:$A106),5)=4)*(WEEKDAY(Swap!$A$7:$G$7,2)=5)*(NOT(ISNUMBER(Calendar!$K2:$Q99)))*(Swap!$A9:$G106=Q$1))</f>
        <v>1</v>
      </c>
      <c r="R6" cm="1">
        <f t="array" aca="1" ref="R6" ca="1">SUM((MOD(ROW(Swap!$A$9:$A106),5)=4)*(WEEKDAY(Swap!$A$7:$G$7,2)=5)*(NOT(ISNUMBER(Calendar!$K2:$Q99)))*(Swap!$A9:$G106=R$1))</f>
        <v>1</v>
      </c>
      <c r="S6" t="e">
        <f t="shared" ca="1" si="0"/>
        <v>#REF!</v>
      </c>
    </row>
    <row r="7" spans="1:19" x14ac:dyDescent="0.25">
      <c r="A7" t="s">
        <v>7</v>
      </c>
      <c r="B7" t="e" cm="1">
        <f t="array" aca="1" ref="B7" ca="1">SUM((MOD(ROW(Swap!$A$10:$A107),5)=0)*(WEEKDAY(Swap!$A$7:$G$7,2)=5)*(NOT(ISNUMBER(Calendar!$K3:$Q100)))*(Swap!$A10:$G107=B$1))</f>
        <v>#REF!</v>
      </c>
      <c r="C7" cm="1">
        <f t="array" aca="1" ref="C7" ca="1">SUM((MOD(ROW(Swap!$A$10:$A107),5)=0)*(WEEKDAY(Swap!$A$7:$G$7,2)=5)*(NOT(ISNUMBER(Calendar!$K3:$Q100)))*(Swap!$A10:$G107=C$1))</f>
        <v>1</v>
      </c>
      <c r="D7" cm="1">
        <f t="array" aca="1" ref="D7" ca="1">SUM((MOD(ROW(Swap!$A$10:$A107),5)=0)*(WEEKDAY(Swap!$A$7:$G$7,2)=5)*(NOT(ISNUMBER(Calendar!$K3:$Q100)))*(Swap!$A10:$G107=D$1))</f>
        <v>1</v>
      </c>
      <c r="E7" cm="1">
        <f t="array" aca="1" ref="E7" ca="1">SUM((MOD(ROW(Swap!$A$10:$A107),5)=0)*(WEEKDAY(Swap!$A$7:$G$7,2)=5)*(NOT(ISNUMBER(Calendar!$K3:$Q100)))*(Swap!$A10:$G107=E$1))</f>
        <v>1</v>
      </c>
      <c r="F7" cm="1">
        <f t="array" aca="1" ref="F7" ca="1">SUM((MOD(ROW(Swap!$A$10:$A107),5)=0)*(WEEKDAY(Swap!$A$7:$G$7,2)=5)*(NOT(ISNUMBER(Calendar!$K3:$Q100)))*(Swap!$A10:$G107=F$1))</f>
        <v>1</v>
      </c>
      <c r="G7" cm="1">
        <f t="array" aca="1" ref="G7" ca="1">SUM((MOD(ROW(Swap!$A$10:$A107),5)=0)*(WEEKDAY(Swap!$A$7:$G$7,2)=5)*(NOT(ISNUMBER(Calendar!$K3:$Q100)))*(Swap!$A10:$G107=G$1))</f>
        <v>1</v>
      </c>
      <c r="H7" cm="1">
        <f t="array" aca="1" ref="H7" ca="1">SUM((MOD(ROW(Swap!$A$10:$A107),5)=0)*(WEEKDAY(Swap!$A$7:$G$7,2)=5)*(NOT(ISNUMBER(Calendar!$K3:$Q100)))*(Swap!$A10:$G107=H$1))</f>
        <v>1</v>
      </c>
      <c r="I7" cm="1">
        <f t="array" aca="1" ref="I7" ca="1">SUM((MOD(ROW(Swap!$A$10:$A107),5)=0)*(WEEKDAY(Swap!$A$7:$G$7,2)=5)*(NOT(ISNUMBER(Calendar!$K3:$Q100)))*(Swap!$A10:$G107=I$1))</f>
        <v>1</v>
      </c>
      <c r="J7" cm="1">
        <f t="array" aca="1" ref="J7" ca="1">SUM((MOD(ROW(Swap!$A$10:$A107),5)=0)*(WEEKDAY(Swap!$A$7:$G$7,2)=5)*(NOT(ISNUMBER(Calendar!$K3:$Q100)))*(Swap!$A10:$G107=J$1))</f>
        <v>1</v>
      </c>
      <c r="K7" cm="1">
        <f t="array" aca="1" ref="K7" ca="1">SUM((MOD(ROW(Swap!$A$10:$A107),5)=0)*(WEEKDAY(Swap!$A$7:$G$7,2)=5)*(NOT(ISNUMBER(Calendar!$K3:$Q100)))*(Swap!$A10:$G107=K$1))</f>
        <v>1</v>
      </c>
      <c r="L7" cm="1">
        <f t="array" aca="1" ref="L7" ca="1">SUM((MOD(ROW(Swap!$A$10:$A107),5)=0)*(WEEKDAY(Swap!$A$7:$G$7,2)=5)*(NOT(ISNUMBER(Calendar!$K3:$Q100)))*(Swap!$A10:$G107=L$1))</f>
        <v>1</v>
      </c>
      <c r="M7" cm="1">
        <f t="array" aca="1" ref="M7" ca="1">SUM((MOD(ROW(Swap!$A$10:$A107),5)=0)*(WEEKDAY(Swap!$A$7:$G$7,2)=5)*(NOT(ISNUMBER(Calendar!$K3:$Q100)))*(Swap!$A10:$G107=M$1))</f>
        <v>1</v>
      </c>
      <c r="N7" cm="1">
        <f t="array" aca="1" ref="N7" ca="1">SUM((MOD(ROW(Swap!$A$10:$A107),5)=0)*(WEEKDAY(Swap!$A$7:$G$7,2)=5)*(NOT(ISNUMBER(Calendar!$K3:$Q100)))*(Swap!$A10:$G107=N$1))</f>
        <v>1</v>
      </c>
      <c r="O7" cm="1">
        <f t="array" aca="1" ref="O7" ca="1">SUM((MOD(ROW(Swap!$A$10:$A107),5)=0)*(WEEKDAY(Swap!$A$7:$G$7,2)=5)*(NOT(ISNUMBER(Calendar!$K3:$Q100)))*(Swap!$A10:$G107=O$1))</f>
        <v>1</v>
      </c>
      <c r="P7" cm="1">
        <f t="array" aca="1" ref="P7" ca="1">SUM((MOD(ROW(Swap!$A$10:$A107),5)=0)*(WEEKDAY(Swap!$A$7:$G$7,2)=5)*(NOT(ISNUMBER(Calendar!$K3:$Q100)))*(Swap!$A10:$G107=P$1))</f>
        <v>1</v>
      </c>
      <c r="Q7" cm="1">
        <f t="array" aca="1" ref="Q7" ca="1">SUM((MOD(ROW(Swap!$A$10:$A107),5)=0)*(WEEKDAY(Swap!$A$7:$G$7,2)=5)*(NOT(ISNUMBER(Calendar!$K3:$Q100)))*(Swap!$A10:$G107=Q$1))</f>
        <v>1</v>
      </c>
      <c r="R7" cm="1">
        <f t="array" aca="1" ref="R7" ca="1">SUM((MOD(ROW(Swap!$A$10:$A107),5)=0)*(WEEKDAY(Swap!$A$7:$G$7,2)=5)*(NOT(ISNUMBER(Calendar!$K3:$Q100)))*(Swap!$A10:$G107=R$1))</f>
        <v>1</v>
      </c>
      <c r="S7" t="e">
        <f t="shared" ca="1" si="0"/>
        <v>#REF!</v>
      </c>
    </row>
    <row r="8" spans="1:19" x14ac:dyDescent="0.25">
      <c r="A8" t="s">
        <v>8</v>
      </c>
      <c r="B8" t="e" cm="1">
        <f t="array" aca="1" ref="B8" ca="1">SUM((MOD(ROW(Swap!$A$8:$A105),5)=3)*(WEEKDAY(Swap!$A$7:$G$7,2)=6)*(NOT(ISNUMBER(Calendar!$K1:$Q98)))*(Swap!$A8:$G105=B$1))</f>
        <v>#REF!</v>
      </c>
      <c r="C8" cm="1">
        <f t="array" aca="1" ref="C8" ca="1">SUM((MOD(ROW(Swap!$A$8:$A105),5)=3)*(WEEKDAY(Swap!$A$7:$G$7,2)=6)*(NOT(ISNUMBER(Calendar!$K1:$Q98)))*(Swap!$A8:$G105=C$1))</f>
        <v>1</v>
      </c>
      <c r="D8" cm="1">
        <f t="array" aca="1" ref="D8" ca="1">SUM((MOD(ROW(Swap!$A$8:$A105),5)=3)*(WEEKDAY(Swap!$A$7:$G$7,2)=6)*(NOT(ISNUMBER(Calendar!$K1:$Q98)))*(Swap!$A8:$G105=D$1))</f>
        <v>1</v>
      </c>
      <c r="E8" cm="1">
        <f t="array" aca="1" ref="E8" ca="1">SUM((MOD(ROW(Swap!$A$8:$A105),5)=3)*(WEEKDAY(Swap!$A$7:$G$7,2)=6)*(NOT(ISNUMBER(Calendar!$K1:$Q98)))*(Swap!$A8:$G105=E$1))</f>
        <v>1</v>
      </c>
      <c r="F8" cm="1">
        <f t="array" aca="1" ref="F8" ca="1">SUM((MOD(ROW(Swap!$A$8:$A105),5)=3)*(WEEKDAY(Swap!$A$7:$G$7,2)=6)*(NOT(ISNUMBER(Calendar!$K1:$Q98)))*(Swap!$A8:$G105=F$1))</f>
        <v>1</v>
      </c>
      <c r="G8" cm="1">
        <f t="array" aca="1" ref="G8" ca="1">SUM((MOD(ROW(Swap!$A$8:$A105),5)=3)*(WEEKDAY(Swap!$A$7:$G$7,2)=6)*(NOT(ISNUMBER(Calendar!$K1:$Q98)))*(Swap!$A8:$G105=G$1))</f>
        <v>1</v>
      </c>
      <c r="H8" cm="1">
        <f t="array" aca="1" ref="H8" ca="1">SUM((MOD(ROW(Swap!$A$8:$A105),5)=3)*(WEEKDAY(Swap!$A$7:$G$7,2)=6)*(NOT(ISNUMBER(Calendar!$K1:$Q98)))*(Swap!$A8:$G105=H$1))</f>
        <v>1</v>
      </c>
      <c r="I8" cm="1">
        <f t="array" aca="1" ref="I8" ca="1">SUM((MOD(ROW(Swap!$A$8:$A105),5)=3)*(WEEKDAY(Swap!$A$7:$G$7,2)=6)*(NOT(ISNUMBER(Calendar!$K1:$Q98)))*(Swap!$A8:$G105=I$1))</f>
        <v>1</v>
      </c>
      <c r="J8" cm="1">
        <f t="array" aca="1" ref="J8" ca="1">SUM((MOD(ROW(Swap!$A$8:$A105),5)=3)*(WEEKDAY(Swap!$A$7:$G$7,2)=6)*(NOT(ISNUMBER(Calendar!$K1:$Q98)))*(Swap!$A8:$G105=J$1))</f>
        <v>1</v>
      </c>
      <c r="K8" cm="1">
        <f t="array" aca="1" ref="K8" ca="1">SUM((MOD(ROW(Swap!$A$8:$A105),5)=3)*(WEEKDAY(Swap!$A$7:$G$7,2)=6)*(NOT(ISNUMBER(Calendar!$K1:$Q98)))*(Swap!$A8:$G105=K$1))</f>
        <v>1</v>
      </c>
      <c r="L8" cm="1">
        <f t="array" aca="1" ref="L8" ca="1">SUM((MOD(ROW(Swap!$A$8:$A105),5)=3)*(WEEKDAY(Swap!$A$7:$G$7,2)=6)*(NOT(ISNUMBER(Calendar!$K1:$Q98)))*(Swap!$A8:$G105=L$1))</f>
        <v>1</v>
      </c>
      <c r="M8" cm="1">
        <f t="array" aca="1" ref="M8" ca="1">SUM((MOD(ROW(Swap!$A$8:$A105),5)=3)*(WEEKDAY(Swap!$A$7:$G$7,2)=6)*(NOT(ISNUMBER(Calendar!$K1:$Q98)))*(Swap!$A8:$G105=M$1))</f>
        <v>1</v>
      </c>
      <c r="N8" cm="1">
        <f t="array" aca="1" ref="N8" ca="1">SUM((MOD(ROW(Swap!$A$8:$A105),5)=3)*(WEEKDAY(Swap!$A$7:$G$7,2)=6)*(NOT(ISNUMBER(Calendar!$K1:$Q98)))*(Swap!$A8:$G105=N$1))</f>
        <v>1</v>
      </c>
      <c r="O8" cm="1">
        <f t="array" aca="1" ref="O8" ca="1">SUM((MOD(ROW(Swap!$A$8:$A105),5)=3)*(WEEKDAY(Swap!$A$7:$G$7,2)=6)*(NOT(ISNUMBER(Calendar!$K1:$Q98)))*(Swap!$A8:$G105=O$1))</f>
        <v>1</v>
      </c>
      <c r="P8" cm="1">
        <f t="array" aca="1" ref="P8" ca="1">SUM((MOD(ROW(Swap!$A$8:$A105),5)=3)*(WEEKDAY(Swap!$A$7:$G$7,2)=6)*(NOT(ISNUMBER(Calendar!$K1:$Q98)))*(Swap!$A8:$G105=P$1))</f>
        <v>1</v>
      </c>
      <c r="Q8" cm="1">
        <f t="array" aca="1" ref="Q8" ca="1">SUM((MOD(ROW(Swap!$A$8:$A105),5)=3)*(WEEKDAY(Swap!$A$7:$G$7,2)=6)*(NOT(ISNUMBER(Calendar!$K1:$Q98)))*(Swap!$A8:$G105=Q$1))</f>
        <v>1</v>
      </c>
      <c r="R8" cm="1">
        <f t="array" aca="1" ref="R8" ca="1">SUM((MOD(ROW(Swap!$A$8:$A105),5)=3)*(WEEKDAY(Swap!$A$7:$G$7,2)=6)*(NOT(ISNUMBER(Calendar!$K1:$Q98)))*(Swap!$A8:$G105=R$1))</f>
        <v>1</v>
      </c>
      <c r="S8" t="e">
        <f t="shared" ca="1" si="0"/>
        <v>#REF!</v>
      </c>
    </row>
    <row r="9" spans="1:19" x14ac:dyDescent="0.25">
      <c r="A9" t="s">
        <v>9</v>
      </c>
      <c r="B9" t="e" cm="1">
        <f t="array" aca="1" ref="B9" ca="1">SUM((MOD(ROW(Swap!$A$9:$A106),5)=4)*(WEEKDAY(Swap!$A$7:$G$7,2)=6)*(NOT(ISNUMBER(Calendar!$K2:$Q99)))*(Swap!$A9:$G106=B$1))</f>
        <v>#REF!</v>
      </c>
      <c r="C9" cm="1">
        <f t="array" aca="1" ref="C9" ca="1">SUM((MOD(ROW(Swap!$A$9:$A106),5)=4)*(WEEKDAY(Swap!$A$7:$G$7,2)=6)*(NOT(ISNUMBER(Calendar!$K2:$Q99)))*(Swap!$A9:$G106=C$1))</f>
        <v>1</v>
      </c>
      <c r="D9" cm="1">
        <f t="array" aca="1" ref="D9" ca="1">SUM((MOD(ROW(Swap!$A$9:$A106),5)=4)*(WEEKDAY(Swap!$A$7:$G$7,2)=6)*(NOT(ISNUMBER(Calendar!$K2:$Q99)))*(Swap!$A9:$G106=D$1))</f>
        <v>1</v>
      </c>
      <c r="E9" cm="1">
        <f t="array" aca="1" ref="E9" ca="1">SUM((MOD(ROW(Swap!$A$9:$A106),5)=4)*(WEEKDAY(Swap!$A$7:$G$7,2)=6)*(NOT(ISNUMBER(Calendar!$K2:$Q99)))*(Swap!$A9:$G106=E$1))</f>
        <v>1</v>
      </c>
      <c r="F9" cm="1">
        <f t="array" aca="1" ref="F9" ca="1">SUM((MOD(ROW(Swap!$A$9:$A106),5)=4)*(WEEKDAY(Swap!$A$7:$G$7,2)=6)*(NOT(ISNUMBER(Calendar!$K2:$Q99)))*(Swap!$A9:$G106=F$1))</f>
        <v>1</v>
      </c>
      <c r="G9" cm="1">
        <f t="array" aca="1" ref="G9" ca="1">SUM((MOD(ROW(Swap!$A$9:$A106),5)=4)*(WEEKDAY(Swap!$A$7:$G$7,2)=6)*(NOT(ISNUMBER(Calendar!$K2:$Q99)))*(Swap!$A9:$G106=G$1))</f>
        <v>1</v>
      </c>
      <c r="H9" cm="1">
        <f t="array" aca="1" ref="H9" ca="1">SUM((MOD(ROW(Swap!$A$9:$A106),5)=4)*(WEEKDAY(Swap!$A$7:$G$7,2)=6)*(NOT(ISNUMBER(Calendar!$K2:$Q99)))*(Swap!$A9:$G106=H$1))</f>
        <v>1</v>
      </c>
      <c r="I9" cm="1">
        <f t="array" aca="1" ref="I9" ca="1">SUM((MOD(ROW(Swap!$A$9:$A106),5)=4)*(WEEKDAY(Swap!$A$7:$G$7,2)=6)*(NOT(ISNUMBER(Calendar!$K2:$Q99)))*(Swap!$A9:$G106=I$1))</f>
        <v>1</v>
      </c>
      <c r="J9" cm="1">
        <f t="array" aca="1" ref="J9" ca="1">SUM((MOD(ROW(Swap!$A$9:$A106),5)=4)*(WEEKDAY(Swap!$A$7:$G$7,2)=6)*(NOT(ISNUMBER(Calendar!$K2:$Q99)))*(Swap!$A9:$G106=J$1))</f>
        <v>1</v>
      </c>
      <c r="K9" cm="1">
        <f t="array" aca="1" ref="K9" ca="1">SUM((MOD(ROW(Swap!$A$9:$A106),5)=4)*(WEEKDAY(Swap!$A$7:$G$7,2)=6)*(NOT(ISNUMBER(Calendar!$K2:$Q99)))*(Swap!$A9:$G106=K$1))</f>
        <v>1</v>
      </c>
      <c r="L9" cm="1">
        <f t="array" aca="1" ref="L9" ca="1">SUM((MOD(ROW(Swap!$A$9:$A106),5)=4)*(WEEKDAY(Swap!$A$7:$G$7,2)=6)*(NOT(ISNUMBER(Calendar!$K2:$Q99)))*(Swap!$A9:$G106=L$1))</f>
        <v>1</v>
      </c>
      <c r="M9" cm="1">
        <f t="array" aca="1" ref="M9" ca="1">SUM((MOD(ROW(Swap!$A$9:$A106),5)=4)*(WEEKDAY(Swap!$A$7:$G$7,2)=6)*(NOT(ISNUMBER(Calendar!$K2:$Q99)))*(Swap!$A9:$G106=M$1))</f>
        <v>1</v>
      </c>
      <c r="N9" cm="1">
        <f t="array" aca="1" ref="N9" ca="1">SUM((MOD(ROW(Swap!$A$9:$A106),5)=4)*(WEEKDAY(Swap!$A$7:$G$7,2)=6)*(NOT(ISNUMBER(Calendar!$K2:$Q99)))*(Swap!$A9:$G106=N$1))</f>
        <v>1</v>
      </c>
      <c r="O9" cm="1">
        <f t="array" aca="1" ref="O9" ca="1">SUM((MOD(ROW(Swap!$A$9:$A106),5)=4)*(WEEKDAY(Swap!$A$7:$G$7,2)=6)*(NOT(ISNUMBER(Calendar!$K2:$Q99)))*(Swap!$A9:$G106=O$1))</f>
        <v>1</v>
      </c>
      <c r="P9" cm="1">
        <f t="array" aca="1" ref="P9" ca="1">SUM((MOD(ROW(Swap!$A$9:$A106),5)=4)*(WEEKDAY(Swap!$A$7:$G$7,2)=6)*(NOT(ISNUMBER(Calendar!$K2:$Q99)))*(Swap!$A9:$G106=P$1))</f>
        <v>1</v>
      </c>
      <c r="Q9" cm="1">
        <f t="array" aca="1" ref="Q9" ca="1">SUM((MOD(ROW(Swap!$A$9:$A106),5)=4)*(WEEKDAY(Swap!$A$7:$G$7,2)=6)*(NOT(ISNUMBER(Calendar!$K2:$Q99)))*(Swap!$A9:$G106=Q$1))</f>
        <v>1</v>
      </c>
      <c r="R9" cm="1">
        <f t="array" aca="1" ref="R9" ca="1">SUM((MOD(ROW(Swap!$A$9:$A106),5)=4)*(WEEKDAY(Swap!$A$7:$G$7,2)=6)*(NOT(ISNUMBER(Calendar!$K2:$Q99)))*(Swap!$A9:$G106=R$1))</f>
        <v>1</v>
      </c>
      <c r="S9" t="e">
        <f t="shared" ca="1" si="0"/>
        <v>#REF!</v>
      </c>
    </row>
    <row r="10" spans="1:19" x14ac:dyDescent="0.25">
      <c r="A10" t="s">
        <v>10</v>
      </c>
      <c r="B10" t="e" cm="1">
        <f t="array" aca="1" ref="B10" ca="1">SUM((MOD(ROW(Swap!$A$10:$A107),5)=0)*(WEEKDAY(Swap!$A$7:$G$7,2)=6)*(NOT(ISNUMBER(Calendar!$K3:$Q100)))*(Swap!$A10:$G107=B$1))</f>
        <v>#REF!</v>
      </c>
      <c r="C10" cm="1">
        <f t="array" aca="1" ref="C10" ca="1">SUM((MOD(ROW(Swap!$A$10:$A107),5)=0)*(WEEKDAY(Swap!$A$7:$G$7,2)=6)*(NOT(ISNUMBER(Calendar!$K3:$Q100)))*(Swap!$A10:$G107=C$1))</f>
        <v>1</v>
      </c>
      <c r="D10" cm="1">
        <f t="array" aca="1" ref="D10" ca="1">SUM((MOD(ROW(Swap!$A$10:$A107),5)=0)*(WEEKDAY(Swap!$A$7:$G$7,2)=6)*(NOT(ISNUMBER(Calendar!$K3:$Q100)))*(Swap!$A10:$G107=D$1))</f>
        <v>1</v>
      </c>
      <c r="E10" cm="1">
        <f t="array" aca="1" ref="E10" ca="1">SUM((MOD(ROW(Swap!$A$10:$A107),5)=0)*(WEEKDAY(Swap!$A$7:$G$7,2)=6)*(NOT(ISNUMBER(Calendar!$K3:$Q100)))*(Swap!$A10:$G107=E$1))</f>
        <v>1</v>
      </c>
      <c r="F10" cm="1">
        <f t="array" aca="1" ref="F10" ca="1">SUM((MOD(ROW(Swap!$A$10:$A107),5)=0)*(WEEKDAY(Swap!$A$7:$G$7,2)=6)*(NOT(ISNUMBER(Calendar!$K3:$Q100)))*(Swap!$A10:$G107=F$1))</f>
        <v>1</v>
      </c>
      <c r="G10" cm="1">
        <f t="array" aca="1" ref="G10" ca="1">SUM((MOD(ROW(Swap!$A$10:$A107),5)=0)*(WEEKDAY(Swap!$A$7:$G$7,2)=6)*(NOT(ISNUMBER(Calendar!$K3:$Q100)))*(Swap!$A10:$G107=G$1))</f>
        <v>1</v>
      </c>
      <c r="H10" cm="1">
        <f t="array" aca="1" ref="H10" ca="1">SUM((MOD(ROW(Swap!$A$10:$A107),5)=0)*(WEEKDAY(Swap!$A$7:$G$7,2)=6)*(NOT(ISNUMBER(Calendar!$K3:$Q100)))*(Swap!$A10:$G107=H$1))</f>
        <v>1</v>
      </c>
      <c r="I10" cm="1">
        <f t="array" aca="1" ref="I10" ca="1">SUM((MOD(ROW(Swap!$A$10:$A107),5)=0)*(WEEKDAY(Swap!$A$7:$G$7,2)=6)*(NOT(ISNUMBER(Calendar!$K3:$Q100)))*(Swap!$A10:$G107=I$1))</f>
        <v>1</v>
      </c>
      <c r="J10" cm="1">
        <f t="array" aca="1" ref="J10" ca="1">SUM((MOD(ROW(Swap!$A$10:$A107),5)=0)*(WEEKDAY(Swap!$A$7:$G$7,2)=6)*(NOT(ISNUMBER(Calendar!$K3:$Q100)))*(Swap!$A10:$G107=J$1))</f>
        <v>1</v>
      </c>
      <c r="K10" cm="1">
        <f t="array" aca="1" ref="K10" ca="1">SUM((MOD(ROW(Swap!$A$10:$A107),5)=0)*(WEEKDAY(Swap!$A$7:$G$7,2)=6)*(NOT(ISNUMBER(Calendar!$K3:$Q100)))*(Swap!$A10:$G107=K$1))</f>
        <v>1</v>
      </c>
      <c r="L10" cm="1">
        <f t="array" aca="1" ref="L10" ca="1">SUM((MOD(ROW(Swap!$A$10:$A107),5)=0)*(WEEKDAY(Swap!$A$7:$G$7,2)=6)*(NOT(ISNUMBER(Calendar!$K3:$Q100)))*(Swap!$A10:$G107=L$1))</f>
        <v>1</v>
      </c>
      <c r="M10" cm="1">
        <f t="array" aca="1" ref="M10" ca="1">SUM((MOD(ROW(Swap!$A$10:$A107),5)=0)*(WEEKDAY(Swap!$A$7:$G$7,2)=6)*(NOT(ISNUMBER(Calendar!$K3:$Q100)))*(Swap!$A10:$G107=M$1))</f>
        <v>1</v>
      </c>
      <c r="N10" cm="1">
        <f t="array" aca="1" ref="N10" ca="1">SUM((MOD(ROW(Swap!$A$10:$A107),5)=0)*(WEEKDAY(Swap!$A$7:$G$7,2)=6)*(NOT(ISNUMBER(Calendar!$K3:$Q100)))*(Swap!$A10:$G107=N$1))</f>
        <v>1</v>
      </c>
      <c r="O10" cm="1">
        <f t="array" aca="1" ref="O10" ca="1">SUM((MOD(ROW(Swap!$A$10:$A107),5)=0)*(WEEKDAY(Swap!$A$7:$G$7,2)=6)*(NOT(ISNUMBER(Calendar!$K3:$Q100)))*(Swap!$A10:$G107=O$1))</f>
        <v>1</v>
      </c>
      <c r="P10" cm="1">
        <f t="array" aca="1" ref="P10" ca="1">SUM((MOD(ROW(Swap!$A$10:$A107),5)=0)*(WEEKDAY(Swap!$A$7:$G$7,2)=6)*(NOT(ISNUMBER(Calendar!$K3:$Q100)))*(Swap!$A10:$G107=P$1))</f>
        <v>1</v>
      </c>
      <c r="Q10" cm="1">
        <f t="array" aca="1" ref="Q10" ca="1">SUM((MOD(ROW(Swap!$A$10:$A107),5)=0)*(WEEKDAY(Swap!$A$7:$G$7,2)=6)*(NOT(ISNUMBER(Calendar!$K3:$Q100)))*(Swap!$A10:$G107=Q$1))</f>
        <v>1</v>
      </c>
      <c r="R10" cm="1">
        <f t="array" aca="1" ref="R10" ca="1">SUM((MOD(ROW(Swap!$A$10:$A107),5)=0)*(WEEKDAY(Swap!$A$7:$G$7,2)=6)*(NOT(ISNUMBER(Calendar!$K3:$Q100)))*(Swap!$A10:$G107=R$1))</f>
        <v>1</v>
      </c>
      <c r="S10" t="e">
        <f t="shared" ca="1" si="0"/>
        <v>#REF!</v>
      </c>
    </row>
    <row r="11" spans="1:19" x14ac:dyDescent="0.25">
      <c r="A11" t="s">
        <v>11</v>
      </c>
      <c r="B11" t="e" cm="1">
        <f t="array" aca="1" ref="B11" ca="1">SUM((MOD(ROW(Swap!$A$8:$A105),5)=3)*(WEEKDAY(Swap!$A$7:$G$7,2)=7)*(NOT(ISNUMBER(Calendar!$K1:$Q98)))*(Swap!$A8:$G105=B$1))</f>
        <v>#REF!</v>
      </c>
      <c r="C11" cm="1">
        <f t="array" aca="1" ref="C11" ca="1">SUM((MOD(ROW(Swap!$A$8:$A105),5)=3)*(WEEKDAY(Swap!$A$7:$G$7,2)=7)*(NOT(ISNUMBER(Calendar!$K1:$Q98)))*(Swap!$A8:$G105=C$1))</f>
        <v>1</v>
      </c>
      <c r="D11" cm="1">
        <f t="array" aca="1" ref="D11" ca="1">SUM((MOD(ROW(Swap!$A$8:$A105),5)=3)*(WEEKDAY(Swap!$A$7:$G$7,2)=7)*(NOT(ISNUMBER(Calendar!$K1:$Q98)))*(Swap!$A8:$G105=D$1))</f>
        <v>1</v>
      </c>
      <c r="E11" cm="1">
        <f t="array" aca="1" ref="E11" ca="1">SUM((MOD(ROW(Swap!$A$8:$A105),5)=3)*(WEEKDAY(Swap!$A$7:$G$7,2)=7)*(NOT(ISNUMBER(Calendar!$K1:$Q98)))*(Swap!$A8:$G105=E$1))</f>
        <v>1</v>
      </c>
      <c r="F11" cm="1">
        <f t="array" aca="1" ref="F11" ca="1">SUM((MOD(ROW(Swap!$A$8:$A105),5)=3)*(WEEKDAY(Swap!$A$7:$G$7,2)=7)*(NOT(ISNUMBER(Calendar!$K1:$Q98)))*(Swap!$A8:$G105=F$1))</f>
        <v>1</v>
      </c>
      <c r="G11" cm="1">
        <f t="array" aca="1" ref="G11" ca="1">SUM((MOD(ROW(Swap!$A$8:$A105),5)=3)*(WEEKDAY(Swap!$A$7:$G$7,2)=7)*(NOT(ISNUMBER(Calendar!$K1:$Q98)))*(Swap!$A8:$G105=G$1))</f>
        <v>1</v>
      </c>
      <c r="H11" cm="1">
        <f t="array" aca="1" ref="H11" ca="1">SUM((MOD(ROW(Swap!$A$8:$A105),5)=3)*(WEEKDAY(Swap!$A$7:$G$7,2)=7)*(NOT(ISNUMBER(Calendar!$K1:$Q98)))*(Swap!$A8:$G105=H$1))</f>
        <v>1</v>
      </c>
      <c r="I11" cm="1">
        <f t="array" aca="1" ref="I11" ca="1">SUM((MOD(ROW(Swap!$A$8:$A105),5)=3)*(WEEKDAY(Swap!$A$7:$G$7,2)=7)*(NOT(ISNUMBER(Calendar!$K1:$Q98)))*(Swap!$A8:$G105=I$1))</f>
        <v>1</v>
      </c>
      <c r="J11" cm="1">
        <f t="array" aca="1" ref="J11" ca="1">SUM((MOD(ROW(Swap!$A$8:$A105),5)=3)*(WEEKDAY(Swap!$A$7:$G$7,2)=7)*(NOT(ISNUMBER(Calendar!$K1:$Q98)))*(Swap!$A8:$G105=J$1))</f>
        <v>1</v>
      </c>
      <c r="K11" cm="1">
        <f t="array" aca="1" ref="K11" ca="1">SUM((MOD(ROW(Swap!$A$8:$A105),5)=3)*(WEEKDAY(Swap!$A$7:$G$7,2)=7)*(NOT(ISNUMBER(Calendar!$K1:$Q98)))*(Swap!$A8:$G105=K$1))</f>
        <v>1</v>
      </c>
      <c r="L11" cm="1">
        <f t="array" aca="1" ref="L11" ca="1">SUM((MOD(ROW(Swap!$A$8:$A105),5)=3)*(WEEKDAY(Swap!$A$7:$G$7,2)=7)*(NOT(ISNUMBER(Calendar!$K1:$Q98)))*(Swap!$A8:$G105=L$1))</f>
        <v>1</v>
      </c>
      <c r="M11" cm="1">
        <f t="array" aca="1" ref="M11" ca="1">SUM((MOD(ROW(Swap!$A$8:$A105),5)=3)*(WEEKDAY(Swap!$A$7:$G$7,2)=7)*(NOT(ISNUMBER(Calendar!$K1:$Q98)))*(Swap!$A8:$G105=M$1))</f>
        <v>1</v>
      </c>
      <c r="N11" cm="1">
        <f t="array" aca="1" ref="N11" ca="1">SUM((MOD(ROW(Swap!$A$8:$A105),5)=3)*(WEEKDAY(Swap!$A$7:$G$7,2)=7)*(NOT(ISNUMBER(Calendar!$K1:$Q98)))*(Swap!$A8:$G105=N$1))</f>
        <v>1</v>
      </c>
      <c r="O11" cm="1">
        <f t="array" aca="1" ref="O11" ca="1">SUM((MOD(ROW(Swap!$A$8:$A105),5)=3)*(WEEKDAY(Swap!$A$7:$G$7,2)=7)*(NOT(ISNUMBER(Calendar!$K1:$Q98)))*(Swap!$A8:$G105=O$1))</f>
        <v>1</v>
      </c>
      <c r="P11" cm="1">
        <f t="array" aca="1" ref="P11" ca="1">SUM((MOD(ROW(Swap!$A$8:$A105),5)=3)*(WEEKDAY(Swap!$A$7:$G$7,2)=7)*(NOT(ISNUMBER(Calendar!$K1:$Q98)))*(Swap!$A8:$G105=P$1))</f>
        <v>1</v>
      </c>
      <c r="Q11" cm="1">
        <f t="array" aca="1" ref="Q11" ca="1">SUM((MOD(ROW(Swap!$A$8:$A105),5)=3)*(WEEKDAY(Swap!$A$7:$G$7,2)=7)*(NOT(ISNUMBER(Calendar!$K1:$Q98)))*(Swap!$A8:$G105=Q$1))</f>
        <v>1</v>
      </c>
      <c r="R11" cm="1">
        <f t="array" aca="1" ref="R11" ca="1">SUM((MOD(ROW(Swap!$A$8:$A105),5)=3)*(WEEKDAY(Swap!$A$7:$G$7,2)=7)*(NOT(ISNUMBER(Calendar!$K1:$Q98)))*(Swap!$A8:$G105=R$1))</f>
        <v>1</v>
      </c>
      <c r="S11" t="e">
        <f t="shared" ca="1" si="0"/>
        <v>#REF!</v>
      </c>
    </row>
    <row r="12" spans="1:19" x14ac:dyDescent="0.25">
      <c r="A12" t="s">
        <v>12</v>
      </c>
      <c r="B12" t="e" cm="1">
        <f t="array" aca="1" ref="B12" ca="1">SUM((MOD(ROW(Swap!$A$9:$A106),5)=4)*(WEEKDAY(Swap!$A$7:$G$7,2)=7)*(NOT(ISNUMBER(Calendar!$K2:$Q99)))*(Swap!$A9:$G106=B$1))</f>
        <v>#REF!</v>
      </c>
      <c r="C12" cm="1">
        <f t="array" aca="1" ref="C12" ca="1">SUM((MOD(ROW(Swap!$A$9:$A106),5)=4)*(WEEKDAY(Swap!$A$7:$G$7,2)=7)*(NOT(ISNUMBER(Calendar!$K2:$Q99)))*(Swap!$A9:$G106=C$1))</f>
        <v>1</v>
      </c>
      <c r="D12" cm="1">
        <f t="array" aca="1" ref="D12" ca="1">SUM((MOD(ROW(Swap!$A$9:$A106),5)=4)*(WEEKDAY(Swap!$A$7:$G$7,2)=7)*(NOT(ISNUMBER(Calendar!$K2:$Q99)))*(Swap!$A9:$G106=D$1))</f>
        <v>1</v>
      </c>
      <c r="E12" cm="1">
        <f t="array" aca="1" ref="E12" ca="1">SUM((MOD(ROW(Swap!$A$9:$A106),5)=4)*(WEEKDAY(Swap!$A$7:$G$7,2)=7)*(NOT(ISNUMBER(Calendar!$K2:$Q99)))*(Swap!$A9:$G106=E$1))</f>
        <v>1</v>
      </c>
      <c r="F12" cm="1">
        <f t="array" aca="1" ref="F12" ca="1">SUM((MOD(ROW(Swap!$A$9:$A106),5)=4)*(WEEKDAY(Swap!$A$7:$G$7,2)=7)*(NOT(ISNUMBER(Calendar!$K2:$Q99)))*(Swap!$A9:$G106=F$1))</f>
        <v>1</v>
      </c>
      <c r="G12" cm="1">
        <f t="array" aca="1" ref="G12" ca="1">SUM((MOD(ROW(Swap!$A$9:$A106),5)=4)*(WEEKDAY(Swap!$A$7:$G$7,2)=7)*(NOT(ISNUMBER(Calendar!$K2:$Q99)))*(Swap!$A9:$G106=G$1))</f>
        <v>1</v>
      </c>
      <c r="H12" cm="1">
        <f t="array" aca="1" ref="H12" ca="1">SUM((MOD(ROW(Swap!$A$9:$A106),5)=4)*(WEEKDAY(Swap!$A$7:$G$7,2)=7)*(NOT(ISNUMBER(Calendar!$K2:$Q99)))*(Swap!$A9:$G106=H$1))</f>
        <v>1</v>
      </c>
      <c r="I12" cm="1">
        <f t="array" aca="1" ref="I12" ca="1">SUM((MOD(ROW(Swap!$A$9:$A106),5)=4)*(WEEKDAY(Swap!$A$7:$G$7,2)=7)*(NOT(ISNUMBER(Calendar!$K2:$Q99)))*(Swap!$A9:$G106=I$1))</f>
        <v>1</v>
      </c>
      <c r="J12" cm="1">
        <f t="array" aca="1" ref="J12" ca="1">SUM((MOD(ROW(Swap!$A$9:$A106),5)=4)*(WEEKDAY(Swap!$A$7:$G$7,2)=7)*(NOT(ISNUMBER(Calendar!$K2:$Q99)))*(Swap!$A9:$G106=J$1))</f>
        <v>1</v>
      </c>
      <c r="K12" cm="1">
        <f t="array" aca="1" ref="K12" ca="1">SUM((MOD(ROW(Swap!$A$9:$A106),5)=4)*(WEEKDAY(Swap!$A$7:$G$7,2)=7)*(NOT(ISNUMBER(Calendar!$K2:$Q99)))*(Swap!$A9:$G106=K$1))</f>
        <v>1</v>
      </c>
      <c r="L12" cm="1">
        <f t="array" aca="1" ref="L12" ca="1">SUM((MOD(ROW(Swap!$A$9:$A106),5)=4)*(WEEKDAY(Swap!$A$7:$G$7,2)=7)*(NOT(ISNUMBER(Calendar!$K2:$Q99)))*(Swap!$A9:$G106=L$1))</f>
        <v>1</v>
      </c>
      <c r="M12" cm="1">
        <f t="array" aca="1" ref="M12" ca="1">SUM((MOD(ROW(Swap!$A$9:$A106),5)=4)*(WEEKDAY(Swap!$A$7:$G$7,2)=7)*(NOT(ISNUMBER(Calendar!$K2:$Q99)))*(Swap!$A9:$G106=M$1))</f>
        <v>1</v>
      </c>
      <c r="N12" cm="1">
        <f t="array" aca="1" ref="N12" ca="1">SUM((MOD(ROW(Swap!$A$9:$A106),5)=4)*(WEEKDAY(Swap!$A$7:$G$7,2)=7)*(NOT(ISNUMBER(Calendar!$K2:$Q99)))*(Swap!$A9:$G106=N$1))</f>
        <v>1</v>
      </c>
      <c r="O12" cm="1">
        <f t="array" aca="1" ref="O12" ca="1">SUM((MOD(ROW(Swap!$A$9:$A106),5)=4)*(WEEKDAY(Swap!$A$7:$G$7,2)=7)*(NOT(ISNUMBER(Calendar!$K2:$Q99)))*(Swap!$A9:$G106=O$1))</f>
        <v>1</v>
      </c>
      <c r="P12" cm="1">
        <f t="array" aca="1" ref="P12" ca="1">SUM((MOD(ROW(Swap!$A$9:$A106),5)=4)*(WEEKDAY(Swap!$A$7:$G$7,2)=7)*(NOT(ISNUMBER(Calendar!$K2:$Q99)))*(Swap!$A9:$G106=P$1))</f>
        <v>1</v>
      </c>
      <c r="Q12" cm="1">
        <f t="array" aca="1" ref="Q12" ca="1">SUM((MOD(ROW(Swap!$A$9:$A106),5)=4)*(WEEKDAY(Swap!$A$7:$G$7,2)=7)*(NOT(ISNUMBER(Calendar!$K2:$Q99)))*(Swap!$A9:$G106=Q$1))</f>
        <v>1</v>
      </c>
      <c r="R12" cm="1">
        <f t="array" aca="1" ref="R12" ca="1">SUM((MOD(ROW(Swap!$A$9:$A106),5)=4)*(WEEKDAY(Swap!$A$7:$G$7,2)=7)*(NOT(ISNUMBER(Calendar!$K2:$Q99)))*(Swap!$A9:$G106=R$1))</f>
        <v>1</v>
      </c>
      <c r="S12" t="e">
        <f t="shared" ca="1" si="0"/>
        <v>#REF!</v>
      </c>
    </row>
    <row r="13" spans="1:19" x14ac:dyDescent="0.25">
      <c r="A13" t="s">
        <v>13</v>
      </c>
      <c r="B13" t="e" cm="1">
        <f t="array" aca="1" ref="B13" ca="1">SUM((MOD(ROW(Swap!$A$10:$A107),5)=0)*(WEEKDAY(Swap!$A$7:$G$7,2)=7)*(NOT(ISNUMBER(Calendar!$K3:$Q100)))*(Swap!$A10:$G107=B$1))</f>
        <v>#REF!</v>
      </c>
      <c r="C13" cm="1">
        <f t="array" aca="1" ref="C13" ca="1">SUM((MOD(ROW(Swap!$A$10:$A107),5)=0)*(WEEKDAY(Swap!$A$7:$G$7,2)=7)*(NOT(ISNUMBER(Calendar!$K3:$Q100)))*(Swap!$A10:$G107=C$1))</f>
        <v>1</v>
      </c>
      <c r="D13" cm="1">
        <f t="array" aca="1" ref="D13" ca="1">SUM((MOD(ROW(Swap!$A$10:$A107),5)=0)*(WEEKDAY(Swap!$A$7:$G$7,2)=7)*(NOT(ISNUMBER(Calendar!$K3:$Q100)))*(Swap!$A10:$G107=D$1))</f>
        <v>1</v>
      </c>
      <c r="E13" cm="1">
        <f t="array" aca="1" ref="E13" ca="1">SUM((MOD(ROW(Swap!$A$10:$A107),5)=0)*(WEEKDAY(Swap!$A$7:$G$7,2)=7)*(NOT(ISNUMBER(Calendar!$K3:$Q100)))*(Swap!$A10:$G107=E$1))</f>
        <v>1</v>
      </c>
      <c r="F13" cm="1">
        <f t="array" aca="1" ref="F13" ca="1">SUM((MOD(ROW(Swap!$A$10:$A107),5)=0)*(WEEKDAY(Swap!$A$7:$G$7,2)=7)*(NOT(ISNUMBER(Calendar!$K3:$Q100)))*(Swap!$A10:$G107=F$1))</f>
        <v>1</v>
      </c>
      <c r="G13" cm="1">
        <f t="array" aca="1" ref="G13" ca="1">SUM((MOD(ROW(Swap!$A$10:$A107),5)=0)*(WEEKDAY(Swap!$A$7:$G$7,2)=7)*(NOT(ISNUMBER(Calendar!$K3:$Q100)))*(Swap!$A10:$G107=G$1))</f>
        <v>1</v>
      </c>
      <c r="H13" cm="1">
        <f t="array" aca="1" ref="H13" ca="1">SUM((MOD(ROW(Swap!$A$10:$A107),5)=0)*(WEEKDAY(Swap!$A$7:$G$7,2)=7)*(NOT(ISNUMBER(Calendar!$K3:$Q100)))*(Swap!$A10:$G107=H$1))</f>
        <v>1</v>
      </c>
      <c r="I13" cm="1">
        <f t="array" aca="1" ref="I13" ca="1">SUM((MOD(ROW(Swap!$A$10:$A107),5)=0)*(WEEKDAY(Swap!$A$7:$G$7,2)=7)*(NOT(ISNUMBER(Calendar!$K3:$Q100)))*(Swap!$A10:$G107=I$1))</f>
        <v>1</v>
      </c>
      <c r="J13" cm="1">
        <f t="array" aca="1" ref="J13" ca="1">SUM((MOD(ROW(Swap!$A$10:$A107),5)=0)*(WEEKDAY(Swap!$A$7:$G$7,2)=7)*(NOT(ISNUMBER(Calendar!$K3:$Q100)))*(Swap!$A10:$G107=J$1))</f>
        <v>1</v>
      </c>
      <c r="K13" cm="1">
        <f t="array" aca="1" ref="K13" ca="1">SUM((MOD(ROW(Swap!$A$10:$A107),5)=0)*(WEEKDAY(Swap!$A$7:$G$7,2)=7)*(NOT(ISNUMBER(Calendar!$K3:$Q100)))*(Swap!$A10:$G107=K$1))</f>
        <v>1</v>
      </c>
      <c r="L13" cm="1">
        <f t="array" aca="1" ref="L13" ca="1">SUM((MOD(ROW(Swap!$A$10:$A107),5)=0)*(WEEKDAY(Swap!$A$7:$G$7,2)=7)*(NOT(ISNUMBER(Calendar!$K3:$Q100)))*(Swap!$A10:$G107=L$1))</f>
        <v>1</v>
      </c>
      <c r="M13" cm="1">
        <f t="array" aca="1" ref="M13" ca="1">SUM((MOD(ROW(Swap!$A$10:$A107),5)=0)*(WEEKDAY(Swap!$A$7:$G$7,2)=7)*(NOT(ISNUMBER(Calendar!$K3:$Q100)))*(Swap!$A10:$G107=M$1))</f>
        <v>1</v>
      </c>
      <c r="N13" cm="1">
        <f t="array" aca="1" ref="N13" ca="1">SUM((MOD(ROW(Swap!$A$10:$A107),5)=0)*(WEEKDAY(Swap!$A$7:$G$7,2)=7)*(NOT(ISNUMBER(Calendar!$K3:$Q100)))*(Swap!$A10:$G107=N$1))</f>
        <v>1</v>
      </c>
      <c r="O13" cm="1">
        <f t="array" aca="1" ref="O13" ca="1">SUM((MOD(ROW(Swap!$A$10:$A107),5)=0)*(WEEKDAY(Swap!$A$7:$G$7,2)=7)*(NOT(ISNUMBER(Calendar!$K3:$Q100)))*(Swap!$A10:$G107=O$1))</f>
        <v>1</v>
      </c>
      <c r="P13" cm="1">
        <f t="array" aca="1" ref="P13" ca="1">SUM((MOD(ROW(Swap!$A$10:$A107),5)=0)*(WEEKDAY(Swap!$A$7:$G$7,2)=7)*(NOT(ISNUMBER(Calendar!$K3:$Q100)))*(Swap!$A10:$G107=P$1))</f>
        <v>1</v>
      </c>
      <c r="Q13" cm="1">
        <f t="array" aca="1" ref="Q13" ca="1">SUM((MOD(ROW(Swap!$A$10:$A107),5)=0)*(WEEKDAY(Swap!$A$7:$G$7,2)=7)*(NOT(ISNUMBER(Calendar!$K3:$Q100)))*(Swap!$A10:$G107=Q$1))</f>
        <v>1</v>
      </c>
      <c r="R13" cm="1">
        <f t="array" aca="1" ref="R13" ca="1">SUM((MOD(ROW(Swap!$A$10:$A107),5)=0)*(WEEKDAY(Swap!$A$7:$G$7,2)=7)*(NOT(ISNUMBER(Calendar!$K3:$Q100)))*(Swap!$A10:$G107=R$1))</f>
        <v>1</v>
      </c>
      <c r="S13" t="e">
        <f t="shared" ca="1" si="0"/>
        <v>#REF!</v>
      </c>
    </row>
    <row r="14" spans="1:19" x14ac:dyDescent="0.25">
      <c r="A14" t="s">
        <v>14</v>
      </c>
      <c r="B14" t="e" cm="1">
        <f t="array" aca="1" ref="B14" ca="1">SUM((MOD(ROW(Swap!$A$8:$A105),5)=3)*(ISNUMBER(Calendar!$K1:$Q98)*(Swap!$A8:$G105=B$1)))</f>
        <v>#REF!</v>
      </c>
      <c r="C14" cm="1">
        <f t="array" aca="1" ref="C14" ca="1">SUM((MOD(ROW(Swap!$A$8:$A105),5)=3)*(ISNUMBER(Calendar!$K1:$Q98)*(Swap!$A8:$G105=C$1)))</f>
        <v>0</v>
      </c>
      <c r="D14" cm="1">
        <f t="array" aca="1" ref="D14" ca="1">SUM((MOD(ROW(Swap!$A$8:$A105),5)=3)*(ISNUMBER(Calendar!$K1:$Q98)*(Swap!$A8:$G105=D$1)))</f>
        <v>0</v>
      </c>
      <c r="E14" cm="1">
        <f t="array" aca="1" ref="E14" ca="1">SUM((MOD(ROW(Swap!$A$8:$A105),5)=3)*(ISNUMBER(Calendar!$K1:$Q98)*(Swap!$A8:$G105=E$1)))</f>
        <v>0</v>
      </c>
      <c r="F14" cm="1">
        <f t="array" aca="1" ref="F14" ca="1">SUM((MOD(ROW(Swap!$A$8:$A105),5)=3)*(ISNUMBER(Calendar!$K1:$Q98)*(Swap!$A8:$G105=F$1)))</f>
        <v>0</v>
      </c>
      <c r="G14" cm="1">
        <f t="array" aca="1" ref="G14" ca="1">SUM((MOD(ROW(Swap!$A$8:$A105),5)=3)*(ISNUMBER(Calendar!$K1:$Q98)*(Swap!$A8:$G105=G$1)))</f>
        <v>0</v>
      </c>
      <c r="H14" cm="1">
        <f t="array" aca="1" ref="H14" ca="1">SUM((MOD(ROW(Swap!$A$8:$A105),5)=3)*(ISNUMBER(Calendar!$K1:$Q98)*(Swap!$A8:$G105=H$1)))</f>
        <v>0</v>
      </c>
      <c r="I14" cm="1">
        <f t="array" aca="1" ref="I14" ca="1">SUM((MOD(ROW(Swap!$A$8:$A105),5)=3)*(ISNUMBER(Calendar!$K1:$Q98)*(Swap!$A8:$G105=I$1)))</f>
        <v>0</v>
      </c>
      <c r="J14" cm="1">
        <f t="array" aca="1" ref="J14" ca="1">SUM((MOD(ROW(Swap!$A$8:$A105),5)=3)*(ISNUMBER(Calendar!$K1:$Q98)*(Swap!$A8:$G105=J$1)))</f>
        <v>0</v>
      </c>
      <c r="K14" cm="1">
        <f t="array" aca="1" ref="K14" ca="1">SUM((MOD(ROW(Swap!$A$8:$A105),5)=3)*(ISNUMBER(Calendar!$K1:$Q98)*(Swap!$A8:$G105=K$1)))</f>
        <v>0</v>
      </c>
      <c r="L14" cm="1">
        <f t="array" aca="1" ref="L14" ca="1">SUM((MOD(ROW(Swap!$A$8:$A105),5)=3)*(ISNUMBER(Calendar!$K1:$Q98)*(Swap!$A8:$G105=L$1)))</f>
        <v>0</v>
      </c>
      <c r="M14" cm="1">
        <f t="array" aca="1" ref="M14" ca="1">SUM((MOD(ROW(Swap!$A$8:$A105),5)=3)*(ISNUMBER(Calendar!$K1:$Q98)*(Swap!$A8:$G105=M$1)))</f>
        <v>0</v>
      </c>
      <c r="N14" cm="1">
        <f t="array" aca="1" ref="N14" ca="1">SUM((MOD(ROW(Swap!$A$8:$A105),5)=3)*(ISNUMBER(Calendar!$K1:$Q98)*(Swap!$A8:$G105=N$1)))</f>
        <v>0</v>
      </c>
      <c r="O14" cm="1">
        <f t="array" aca="1" ref="O14" ca="1">SUM((MOD(ROW(Swap!$A$8:$A105),5)=3)*(ISNUMBER(Calendar!$K1:$Q98)*(Swap!$A8:$G105=O$1)))</f>
        <v>0</v>
      </c>
      <c r="P14" cm="1">
        <f t="array" aca="1" ref="P14" ca="1">SUM((MOD(ROW(Swap!$A$8:$A105),5)=3)*(ISNUMBER(Calendar!$K1:$Q98)*(Swap!$A8:$G105=P$1)))</f>
        <v>0</v>
      </c>
      <c r="Q14" cm="1">
        <f t="array" aca="1" ref="Q14" ca="1">SUM((MOD(ROW(Swap!$A$8:$A105),5)=3)*(ISNUMBER(Calendar!$K1:$Q98)*(Swap!$A8:$G105=Q$1)))</f>
        <v>0</v>
      </c>
      <c r="R14" cm="1">
        <f t="array" aca="1" ref="R14" ca="1">SUM((MOD(ROW(Swap!$A$8:$A105),5)=3)*(ISNUMBER(Calendar!$K1:$Q98)*(Swap!$A8:$G105=R$1)))</f>
        <v>0</v>
      </c>
      <c r="S14" t="e">
        <f t="shared" ca="1" si="0"/>
        <v>#REF!</v>
      </c>
    </row>
    <row r="15" spans="1:19" x14ac:dyDescent="0.25">
      <c r="A15" t="s">
        <v>15</v>
      </c>
      <c r="B15" t="e" cm="1">
        <f t="array" aca="1" ref="B15" ca="1">SUM((MOD(ROW(Swap!$A$9:$A106),5)=4)*(ISNUMBER(Calendar!$K2:$Q99)*(Swap!$A9:$G106=B$1)))</f>
        <v>#REF!</v>
      </c>
      <c r="C15" cm="1">
        <f t="array" aca="1" ref="C15" ca="1">SUM((MOD(ROW(Swap!$A$9:$A106),5)=4)*(ISNUMBER(Calendar!$K2:$Q99)*(Swap!$A9:$G106=C$1)))</f>
        <v>0</v>
      </c>
      <c r="D15" cm="1">
        <f t="array" aca="1" ref="D15" ca="1">SUM((MOD(ROW(Swap!$A$9:$A106),5)=4)*(ISNUMBER(Calendar!$K2:$Q99)*(Swap!$A9:$G106=D$1)))</f>
        <v>0</v>
      </c>
      <c r="E15" cm="1">
        <f t="array" aca="1" ref="E15" ca="1">SUM((MOD(ROW(Swap!$A$9:$A106),5)=4)*(ISNUMBER(Calendar!$K2:$Q99)*(Swap!$A9:$G106=E$1)))</f>
        <v>0</v>
      </c>
      <c r="F15" cm="1">
        <f t="array" aca="1" ref="F15" ca="1">SUM((MOD(ROW(Swap!$A$9:$A106),5)=4)*(ISNUMBER(Calendar!$K2:$Q99)*(Swap!$A9:$G106=F$1)))</f>
        <v>0</v>
      </c>
      <c r="G15" cm="1">
        <f t="array" aca="1" ref="G15" ca="1">SUM((MOD(ROW(Swap!$A$9:$A106),5)=4)*(ISNUMBER(Calendar!$K2:$Q99)*(Swap!$A9:$G106=G$1)))</f>
        <v>0</v>
      </c>
      <c r="H15" cm="1">
        <f t="array" aca="1" ref="H15" ca="1">SUM((MOD(ROW(Swap!$A$9:$A106),5)=4)*(ISNUMBER(Calendar!$K2:$Q99)*(Swap!$A9:$G106=H$1)))</f>
        <v>0</v>
      </c>
      <c r="I15" cm="1">
        <f t="array" aca="1" ref="I15" ca="1">SUM((MOD(ROW(Swap!$A$9:$A106),5)=4)*(ISNUMBER(Calendar!$K2:$Q99)*(Swap!$A9:$G106=I$1)))</f>
        <v>0</v>
      </c>
      <c r="J15" cm="1">
        <f t="array" aca="1" ref="J15" ca="1">SUM((MOD(ROW(Swap!$A$9:$A106),5)=4)*(ISNUMBER(Calendar!$K2:$Q99)*(Swap!$A9:$G106=J$1)))</f>
        <v>0</v>
      </c>
      <c r="K15" cm="1">
        <f t="array" aca="1" ref="K15" ca="1">SUM((MOD(ROW(Swap!$A$9:$A106),5)=4)*(ISNUMBER(Calendar!$K2:$Q99)*(Swap!$A9:$G106=K$1)))</f>
        <v>0</v>
      </c>
      <c r="L15" cm="1">
        <f t="array" aca="1" ref="L15" ca="1">SUM((MOD(ROW(Swap!$A$9:$A106),5)=4)*(ISNUMBER(Calendar!$K2:$Q99)*(Swap!$A9:$G106=L$1)))</f>
        <v>0</v>
      </c>
      <c r="M15" cm="1">
        <f t="array" aca="1" ref="M15" ca="1">SUM((MOD(ROW(Swap!$A$9:$A106),5)=4)*(ISNUMBER(Calendar!$K2:$Q99)*(Swap!$A9:$G106=M$1)))</f>
        <v>0</v>
      </c>
      <c r="N15" cm="1">
        <f t="array" aca="1" ref="N15" ca="1">SUM((MOD(ROW(Swap!$A$9:$A106),5)=4)*(ISNUMBER(Calendar!$K2:$Q99)*(Swap!$A9:$G106=N$1)))</f>
        <v>0</v>
      </c>
      <c r="O15" cm="1">
        <f t="array" aca="1" ref="O15" ca="1">SUM((MOD(ROW(Swap!$A$9:$A106),5)=4)*(ISNUMBER(Calendar!$K2:$Q99)*(Swap!$A9:$G106=O$1)))</f>
        <v>0</v>
      </c>
      <c r="P15" cm="1">
        <f t="array" aca="1" ref="P15" ca="1">SUM((MOD(ROW(Swap!$A$9:$A106),5)=4)*(ISNUMBER(Calendar!$K2:$Q99)*(Swap!$A9:$G106=P$1)))</f>
        <v>0</v>
      </c>
      <c r="Q15" cm="1">
        <f t="array" aca="1" ref="Q15" ca="1">SUM((MOD(ROW(Swap!$A$9:$A106),5)=4)*(ISNUMBER(Calendar!$K2:$Q99)*(Swap!$A9:$G106=Q$1)))</f>
        <v>0</v>
      </c>
      <c r="R15" cm="1">
        <f t="array" aca="1" ref="R15" ca="1">SUM((MOD(ROW(Swap!$A$9:$A106),5)=4)*(ISNUMBER(Calendar!$K2:$Q99)*(Swap!$A9:$G106=R$1)))</f>
        <v>0</v>
      </c>
      <c r="S15" t="e">
        <f t="shared" ca="1" si="0"/>
        <v>#REF!</v>
      </c>
    </row>
    <row r="16" spans="1:19" x14ac:dyDescent="0.25">
      <c r="A16" t="s">
        <v>16</v>
      </c>
      <c r="B16" t="e" cm="1">
        <f t="array" aca="1" ref="B16" ca="1">SUM((MOD(ROW(Swap!$A$10:$A107),5)=0)*(ISNUMBER(Calendar!$K3:$Q100)*(Swap!$A10:$G107=B$1)))</f>
        <v>#REF!</v>
      </c>
      <c r="C16" cm="1">
        <f t="array" aca="1" ref="C16" ca="1">SUM((MOD(ROW(Swap!$A$10:$A107),5)=0)*(ISNUMBER(Calendar!$K3:$Q100)*(Swap!$A10:$G107=C$1)))</f>
        <v>0</v>
      </c>
      <c r="D16" cm="1">
        <f t="array" aca="1" ref="D16" ca="1">SUM((MOD(ROW(Swap!$A$10:$A107),5)=0)*(ISNUMBER(Calendar!$K3:$Q100)*(Swap!$A10:$G107=D$1)))</f>
        <v>0</v>
      </c>
      <c r="E16" cm="1">
        <f t="array" aca="1" ref="E16" ca="1">SUM((MOD(ROW(Swap!$A$10:$A107),5)=0)*(ISNUMBER(Calendar!$K3:$Q100)*(Swap!$A10:$G107=E$1)))</f>
        <v>0</v>
      </c>
      <c r="F16" cm="1">
        <f t="array" aca="1" ref="F16" ca="1">SUM((MOD(ROW(Swap!$A$10:$A107),5)=0)*(ISNUMBER(Calendar!$K3:$Q100)*(Swap!$A10:$G107=F$1)))</f>
        <v>0</v>
      </c>
      <c r="G16" cm="1">
        <f t="array" aca="1" ref="G16" ca="1">SUM((MOD(ROW(Swap!$A$10:$A107),5)=0)*(ISNUMBER(Calendar!$K3:$Q100)*(Swap!$A10:$G107=G$1)))</f>
        <v>0</v>
      </c>
      <c r="H16" cm="1">
        <f t="array" aca="1" ref="H16" ca="1">SUM((MOD(ROW(Swap!$A$10:$A107),5)=0)*(ISNUMBER(Calendar!$K3:$Q100)*(Swap!$A10:$G107=H$1)))</f>
        <v>0</v>
      </c>
      <c r="I16" cm="1">
        <f t="array" aca="1" ref="I16" ca="1">SUM((MOD(ROW(Swap!$A$10:$A107),5)=0)*(ISNUMBER(Calendar!$K3:$Q100)*(Swap!$A10:$G107=I$1)))</f>
        <v>0</v>
      </c>
      <c r="J16" cm="1">
        <f t="array" aca="1" ref="J16" ca="1">SUM((MOD(ROW(Swap!$A$10:$A107),5)=0)*(ISNUMBER(Calendar!$K3:$Q100)*(Swap!$A10:$G107=J$1)))</f>
        <v>0</v>
      </c>
      <c r="K16" cm="1">
        <f t="array" aca="1" ref="K16" ca="1">SUM((MOD(ROW(Swap!$A$10:$A107),5)=0)*(ISNUMBER(Calendar!$K3:$Q100)*(Swap!$A10:$G107=K$1)))</f>
        <v>0</v>
      </c>
      <c r="L16" cm="1">
        <f t="array" aca="1" ref="L16" ca="1">SUM((MOD(ROW(Swap!$A$10:$A107),5)=0)*(ISNUMBER(Calendar!$K3:$Q100)*(Swap!$A10:$G107=L$1)))</f>
        <v>0</v>
      </c>
      <c r="M16" cm="1">
        <f t="array" aca="1" ref="M16" ca="1">SUM((MOD(ROW(Swap!$A$10:$A107),5)=0)*(ISNUMBER(Calendar!$K3:$Q100)*(Swap!$A10:$G107=M$1)))</f>
        <v>0</v>
      </c>
      <c r="N16" cm="1">
        <f t="array" aca="1" ref="N16" ca="1">SUM((MOD(ROW(Swap!$A$10:$A107),5)=0)*(ISNUMBER(Calendar!$K3:$Q100)*(Swap!$A10:$G107=N$1)))</f>
        <v>0</v>
      </c>
      <c r="O16" cm="1">
        <f t="array" aca="1" ref="O16" ca="1">SUM((MOD(ROW(Swap!$A$10:$A107),5)=0)*(ISNUMBER(Calendar!$K3:$Q100)*(Swap!$A10:$G107=O$1)))</f>
        <v>0</v>
      </c>
      <c r="P16" cm="1">
        <f t="array" aca="1" ref="P16" ca="1">SUM((MOD(ROW(Swap!$A$10:$A107),5)=0)*(ISNUMBER(Calendar!$K3:$Q100)*(Swap!$A10:$G107=P$1)))</f>
        <v>0</v>
      </c>
      <c r="Q16" cm="1">
        <f t="array" aca="1" ref="Q16" ca="1">SUM((MOD(ROW(Swap!$A$10:$A107),5)=0)*(ISNUMBER(Calendar!$K3:$Q100)*(Swap!$A10:$G107=Q$1)))</f>
        <v>0</v>
      </c>
      <c r="R16" cm="1">
        <f t="array" aca="1" ref="R16" ca="1">SUM((MOD(ROW(Swap!$A$10:$A107),5)=0)*(ISNUMBER(Calendar!$K3:$Q100)*(Swap!$A10:$G107=R$1)))</f>
        <v>0</v>
      </c>
      <c r="S16" t="e">
        <f t="shared" ca="1" si="0"/>
        <v>#REF!</v>
      </c>
    </row>
    <row r="17" spans="1:19" x14ac:dyDescent="0.25">
      <c r="A17" s="10" t="s">
        <v>22</v>
      </c>
      <c r="B17" t="e">
        <f ca="1">SUM(B3:B16)</f>
        <v>#REF!</v>
      </c>
      <c r="C17">
        <f t="shared" ref="C17:P17" ca="1" si="1">SUM(C3:C16)</f>
        <v>21</v>
      </c>
      <c r="D17">
        <f t="shared" ca="1" si="1"/>
        <v>21</v>
      </c>
      <c r="E17">
        <f t="shared" ca="1" si="1"/>
        <v>21</v>
      </c>
      <c r="F17">
        <f t="shared" ca="1" si="1"/>
        <v>21</v>
      </c>
      <c r="G17">
        <f t="shared" ca="1" si="1"/>
        <v>21</v>
      </c>
      <c r="H17">
        <f t="shared" ca="1" si="1"/>
        <v>21</v>
      </c>
      <c r="I17">
        <f t="shared" ca="1" si="1"/>
        <v>21</v>
      </c>
      <c r="J17">
        <f t="shared" ca="1" si="1"/>
        <v>21</v>
      </c>
      <c r="K17">
        <f t="shared" ca="1" si="1"/>
        <v>21</v>
      </c>
      <c r="L17">
        <f t="shared" ca="1" si="1"/>
        <v>21</v>
      </c>
      <c r="M17">
        <f t="shared" ca="1" si="1"/>
        <v>21</v>
      </c>
      <c r="N17">
        <f t="shared" ca="1" si="1"/>
        <v>21</v>
      </c>
      <c r="O17">
        <f t="shared" ca="1" si="1"/>
        <v>21</v>
      </c>
      <c r="P17">
        <f t="shared" ca="1" si="1"/>
        <v>21</v>
      </c>
      <c r="Q17">
        <f t="shared" ref="Q17:R17" ca="1" si="2">SUM(Q3:Q16)</f>
        <v>21</v>
      </c>
      <c r="R17">
        <f t="shared" ca="1" si="2"/>
        <v>21</v>
      </c>
      <c r="S17" t="e">
        <f t="shared" ca="1" si="0"/>
        <v>#REF!</v>
      </c>
    </row>
    <row r="18" spans="1:19" x14ac:dyDescent="0.25">
      <c r="A18" s="7" t="s">
        <v>20</v>
      </c>
    </row>
    <row r="19" spans="1:19" x14ac:dyDescent="0.25">
      <c r="A19" s="8" t="s">
        <v>3</v>
      </c>
      <c r="B19" t="e" cm="1">
        <f t="array" ref="B19">SUM((MOD(ROW(#REF!),15)=7)*(#REF!=B$1))</f>
        <v>#REF!</v>
      </c>
      <c r="C19" t="e" cm="1">
        <f t="array" ref="C19">SUM((MOD(ROW(#REF!),15)=7)*(#REF!=C$1))</f>
        <v>#REF!</v>
      </c>
      <c r="D19" t="e" cm="1">
        <f t="array" ref="D19">SUM((MOD(ROW(#REF!),15)=7)*(#REF!=D$1))</f>
        <v>#REF!</v>
      </c>
      <c r="E19" t="e" cm="1">
        <f t="array" ref="E19">SUM((MOD(ROW(#REF!),15)=7)*(#REF!=E$1))</f>
        <v>#REF!</v>
      </c>
      <c r="F19" t="e" cm="1">
        <f t="array" ref="F19">SUM((MOD(ROW(#REF!),15)=7)*(#REF!=F$1))</f>
        <v>#REF!</v>
      </c>
      <c r="G19" t="e" cm="1">
        <f t="array" ref="G19">SUM((MOD(ROW(#REF!),15)=7)*(#REF!=G$1))</f>
        <v>#REF!</v>
      </c>
      <c r="H19" t="e" cm="1">
        <f t="array" ref="H19">SUM((MOD(ROW(#REF!),15)=7)*(#REF!=H$1))</f>
        <v>#REF!</v>
      </c>
      <c r="I19" t="e" cm="1">
        <f t="array" ref="I19">SUM((MOD(ROW(#REF!),15)=7)*(#REF!=I$1))</f>
        <v>#REF!</v>
      </c>
      <c r="J19" t="e" cm="1">
        <f t="array" ref="J19">SUM((MOD(ROW(#REF!),15)=7)*(#REF!=J$1))</f>
        <v>#REF!</v>
      </c>
      <c r="K19" t="e" cm="1">
        <f t="array" ref="K19">SUM((MOD(ROW(#REF!),15)=7)*(#REF!=K$1))</f>
        <v>#REF!</v>
      </c>
      <c r="L19" t="e" cm="1">
        <f t="array" ref="L19">SUM((MOD(ROW(#REF!),15)=7)*(#REF!=L$1))</f>
        <v>#REF!</v>
      </c>
      <c r="M19" t="e" cm="1">
        <f t="array" ref="M19">SUM((MOD(ROW(#REF!),15)=7)*(#REF!=M$1))</f>
        <v>#REF!</v>
      </c>
      <c r="N19" t="e" cm="1">
        <f t="array" ref="N19">SUM((MOD(ROW(#REF!),15)=7)*(#REF!=N$1))</f>
        <v>#REF!</v>
      </c>
      <c r="O19" t="e" cm="1">
        <f t="array" ref="O19">SUM((MOD(ROW(#REF!),15)=7)*(#REF!=O$1))</f>
        <v>#REF!</v>
      </c>
      <c r="P19" t="e" cm="1">
        <f t="array" ref="P19">SUM((MOD(ROW(#REF!),15)=7)*(#REF!=P$1))</f>
        <v>#REF!</v>
      </c>
      <c r="Q19" t="e" cm="1">
        <f t="array" ref="Q19">SUM((MOD(ROW(#REF!),15)=7)*(#REF!=Q$1))</f>
        <v>#REF!</v>
      </c>
      <c r="R19" t="e" cm="1">
        <f t="array" ref="R19">SUM((MOD(ROW(#REF!),15)=7)*(#REF!=R$1))</f>
        <v>#REF!</v>
      </c>
      <c r="S19" t="e">
        <f>SUM(B19:R19)</f>
        <v>#REF!</v>
      </c>
    </row>
    <row r="20" spans="1:19" x14ac:dyDescent="0.25">
      <c r="A20" t="s">
        <v>4</v>
      </c>
      <c r="B20" t="e" cm="1">
        <f t="array" ref="B20">SUM((MOD(ROW(#REF!),15)=8)*(#REF!=B$1))</f>
        <v>#REF!</v>
      </c>
      <c r="C20" t="e" cm="1">
        <f t="array" ref="C20">SUM((MOD(ROW(#REF!),15)=8)*(#REF!=C$1))</f>
        <v>#REF!</v>
      </c>
      <c r="D20" t="e" cm="1">
        <f t="array" ref="D20">SUM((MOD(ROW(#REF!),15)=8)*(#REF!=D$1))</f>
        <v>#REF!</v>
      </c>
      <c r="E20" t="e" cm="1">
        <f t="array" ref="E20">SUM((MOD(ROW(#REF!),15)=8)*(#REF!=E$1))</f>
        <v>#REF!</v>
      </c>
      <c r="F20" t="e" cm="1">
        <f t="array" ref="F20">SUM((MOD(ROW(#REF!),15)=8)*(#REF!=F$1))</f>
        <v>#REF!</v>
      </c>
      <c r="G20" t="e" cm="1">
        <f t="array" ref="G20">SUM((MOD(ROW(#REF!),15)=8)*(#REF!=G$1))</f>
        <v>#REF!</v>
      </c>
      <c r="H20" t="e" cm="1">
        <f t="array" ref="H20">SUM((MOD(ROW(#REF!),15)=8)*(#REF!=H$1))</f>
        <v>#REF!</v>
      </c>
      <c r="I20" t="e" cm="1">
        <f t="array" ref="I20">SUM((MOD(ROW(#REF!),15)=8)*(#REF!=I$1))</f>
        <v>#REF!</v>
      </c>
      <c r="J20" t="e" cm="1">
        <f t="array" ref="J20">SUM((MOD(ROW(#REF!),15)=8)*(#REF!=J$1))</f>
        <v>#REF!</v>
      </c>
      <c r="K20" t="e" cm="1">
        <f t="array" ref="K20">SUM((MOD(ROW(#REF!),15)=8)*(#REF!=K$1))</f>
        <v>#REF!</v>
      </c>
      <c r="L20" t="e" cm="1">
        <f t="array" ref="L20">SUM((MOD(ROW(#REF!),15)=8)*(#REF!=L$1))</f>
        <v>#REF!</v>
      </c>
      <c r="M20" t="e" cm="1">
        <f t="array" ref="M20">SUM((MOD(ROW(#REF!),15)=8)*(#REF!=M$1))</f>
        <v>#REF!</v>
      </c>
      <c r="N20" t="e" cm="1">
        <f t="array" ref="N20">SUM((MOD(ROW(#REF!),15)=8)*(#REF!=N$1))</f>
        <v>#REF!</v>
      </c>
      <c r="O20" t="e" cm="1">
        <f t="array" ref="O20">SUM((MOD(ROW(#REF!),15)=8)*(#REF!=O$1))</f>
        <v>#REF!</v>
      </c>
      <c r="P20" t="e" cm="1">
        <f t="array" ref="P20">SUM((MOD(ROW(#REF!),15)=8)*(#REF!=P$1))</f>
        <v>#REF!</v>
      </c>
      <c r="Q20" t="e" cm="1">
        <f t="array" ref="Q20">SUM((MOD(ROW(#REF!),15)=8)*(#REF!=Q$1))</f>
        <v>#REF!</v>
      </c>
      <c r="R20" t="e" cm="1">
        <f t="array" ref="R20">SUM((MOD(ROW(#REF!),15)=8)*(#REF!=R$1))</f>
        <v>#REF!</v>
      </c>
      <c r="S20" t="e">
        <f t="shared" ref="S20:S33" si="3">SUM(B20:R20)</f>
        <v>#REF!</v>
      </c>
    </row>
    <row r="21" spans="1:19" x14ac:dyDescent="0.25">
      <c r="A21" t="s">
        <v>5</v>
      </c>
      <c r="B21" t="e" cm="1">
        <f t="array" ref="B21">SUM((MOD(ROW(#REF!),15)=9)*(#REF!=B$1))</f>
        <v>#REF!</v>
      </c>
      <c r="C21" t="e" cm="1">
        <f t="array" ref="C21">SUM((MOD(ROW(#REF!),15)=9)*(#REF!=C$1))</f>
        <v>#REF!</v>
      </c>
      <c r="D21" t="e" cm="1">
        <f t="array" ref="D21">SUM((MOD(ROW(#REF!),15)=9)*(#REF!=D$1))</f>
        <v>#REF!</v>
      </c>
      <c r="E21" t="e" cm="1">
        <f t="array" ref="E21">SUM((MOD(ROW(#REF!),15)=9)*(#REF!=E$1))</f>
        <v>#REF!</v>
      </c>
      <c r="F21" t="e" cm="1">
        <f t="array" ref="F21">SUM((MOD(ROW(#REF!),15)=9)*(#REF!=F$1))</f>
        <v>#REF!</v>
      </c>
      <c r="G21" t="e" cm="1">
        <f t="array" ref="G21">SUM((MOD(ROW(#REF!),15)=9)*(#REF!=G$1))</f>
        <v>#REF!</v>
      </c>
      <c r="H21" t="e" cm="1">
        <f t="array" ref="H21">SUM((MOD(ROW(#REF!),15)=9)*(#REF!=H$1))</f>
        <v>#REF!</v>
      </c>
      <c r="I21" t="e" cm="1">
        <f t="array" ref="I21">SUM((MOD(ROW(#REF!),15)=9)*(#REF!=I$1))</f>
        <v>#REF!</v>
      </c>
      <c r="J21" t="e" cm="1">
        <f t="array" ref="J21">SUM((MOD(ROW(#REF!),15)=9)*(#REF!=J$1))</f>
        <v>#REF!</v>
      </c>
      <c r="K21" t="e" cm="1">
        <f t="array" ref="K21">SUM((MOD(ROW(#REF!),15)=9)*(#REF!=K$1))</f>
        <v>#REF!</v>
      </c>
      <c r="L21" t="e" cm="1">
        <f t="array" ref="L21">SUM((MOD(ROW(#REF!),15)=9)*(#REF!=L$1))</f>
        <v>#REF!</v>
      </c>
      <c r="M21" t="e" cm="1">
        <f t="array" ref="M21">SUM((MOD(ROW(#REF!),15)=9)*(#REF!=M$1))</f>
        <v>#REF!</v>
      </c>
      <c r="N21" t="e" cm="1">
        <f t="array" ref="N21">SUM((MOD(ROW(#REF!),15)=9)*(#REF!=N$1))</f>
        <v>#REF!</v>
      </c>
      <c r="O21" t="e" cm="1">
        <f t="array" ref="O21">SUM((MOD(ROW(#REF!),15)=9)*(#REF!=O$1))</f>
        <v>#REF!</v>
      </c>
      <c r="P21" t="e" cm="1">
        <f t="array" ref="P21">SUM((MOD(ROW(#REF!),15)=9)*(#REF!=P$1))</f>
        <v>#REF!</v>
      </c>
      <c r="Q21" t="e" cm="1">
        <f t="array" ref="Q21">SUM((MOD(ROW(#REF!),15)=9)*(#REF!=Q$1))</f>
        <v>#REF!</v>
      </c>
      <c r="R21" t="e" cm="1">
        <f t="array" ref="R21">SUM((MOD(ROW(#REF!),15)=9)*(#REF!=R$1))</f>
        <v>#REF!</v>
      </c>
      <c r="S21" t="e">
        <f t="shared" si="3"/>
        <v>#REF!</v>
      </c>
    </row>
    <row r="22" spans="1:19" x14ac:dyDescent="0.25">
      <c r="A22" t="s">
        <v>6</v>
      </c>
      <c r="B22" t="e" cm="1">
        <f t="array" ref="B22">SUM((MOD(ROW(#REF!),15)=10)*(#REF!=B$1))</f>
        <v>#REF!</v>
      </c>
      <c r="C22" t="e" cm="1">
        <f t="array" ref="C22">SUM((MOD(ROW(#REF!),15)=10)*(#REF!=C$1))</f>
        <v>#REF!</v>
      </c>
      <c r="D22" t="e" cm="1">
        <f t="array" ref="D22">SUM((MOD(ROW(#REF!),15)=10)*(#REF!=D$1))</f>
        <v>#REF!</v>
      </c>
      <c r="E22" t="e" cm="1">
        <f t="array" ref="E22">SUM((MOD(ROW(#REF!),15)=10)*(#REF!=E$1))</f>
        <v>#REF!</v>
      </c>
      <c r="F22" t="e" cm="1">
        <f t="array" ref="F22">SUM((MOD(ROW(#REF!),15)=10)*(#REF!=F$1))</f>
        <v>#REF!</v>
      </c>
      <c r="G22" t="e" cm="1">
        <f t="array" ref="G22">SUM((MOD(ROW(#REF!),15)=10)*(#REF!=G$1))</f>
        <v>#REF!</v>
      </c>
      <c r="H22" t="e" cm="1">
        <f t="array" ref="H22">SUM((MOD(ROW(#REF!),15)=10)*(#REF!=H$1))</f>
        <v>#REF!</v>
      </c>
      <c r="I22" t="e" cm="1">
        <f t="array" ref="I22">SUM((MOD(ROW(#REF!),15)=10)*(#REF!=I$1))</f>
        <v>#REF!</v>
      </c>
      <c r="J22" t="e" cm="1">
        <f t="array" ref="J22">SUM((MOD(ROW(#REF!),15)=10)*(#REF!=J$1))</f>
        <v>#REF!</v>
      </c>
      <c r="K22" t="e" cm="1">
        <f t="array" ref="K22">SUM((MOD(ROW(#REF!),15)=10)*(#REF!=K$1))</f>
        <v>#REF!</v>
      </c>
      <c r="L22" t="e" cm="1">
        <f t="array" ref="L22">SUM((MOD(ROW(#REF!),15)=10)*(#REF!=L$1))</f>
        <v>#REF!</v>
      </c>
      <c r="M22" t="e" cm="1">
        <f t="array" ref="M22">SUM((MOD(ROW(#REF!),15)=10)*(#REF!=M$1))</f>
        <v>#REF!</v>
      </c>
      <c r="N22" t="e" cm="1">
        <f t="array" ref="N22">SUM((MOD(ROW(#REF!),15)=10)*(#REF!=N$1))</f>
        <v>#REF!</v>
      </c>
      <c r="O22" t="e" cm="1">
        <f t="array" ref="O22">SUM((MOD(ROW(#REF!),15)=10)*(#REF!=O$1))</f>
        <v>#REF!</v>
      </c>
      <c r="P22" t="e" cm="1">
        <f t="array" ref="P22">SUM((MOD(ROW(#REF!),15)=10)*(#REF!=P$1))</f>
        <v>#REF!</v>
      </c>
      <c r="Q22" t="e" cm="1">
        <f t="array" ref="Q22">SUM((MOD(ROW(#REF!),15)=10)*(#REF!=Q$1))</f>
        <v>#REF!</v>
      </c>
      <c r="R22" t="e" cm="1">
        <f t="array" ref="R22">SUM((MOD(ROW(#REF!),15)=10)*(#REF!=R$1))</f>
        <v>#REF!</v>
      </c>
      <c r="S22" t="e">
        <f t="shared" si="3"/>
        <v>#REF!</v>
      </c>
    </row>
    <row r="23" spans="1:19" x14ac:dyDescent="0.25">
      <c r="A23" t="s">
        <v>7</v>
      </c>
      <c r="B23" t="e" cm="1">
        <f t="array" ref="B23">SUM((MOD(ROW(#REF!),15)=11)*(#REF!=B$1))</f>
        <v>#REF!</v>
      </c>
      <c r="C23" t="e" cm="1">
        <f t="array" ref="C23">SUM((MOD(ROW(#REF!),15)=11)*(#REF!=C$1))</f>
        <v>#REF!</v>
      </c>
      <c r="D23" t="e" cm="1">
        <f t="array" ref="D23">SUM((MOD(ROW(#REF!),15)=11)*(#REF!=D$1))</f>
        <v>#REF!</v>
      </c>
      <c r="E23" t="e" cm="1">
        <f t="array" ref="E23">SUM((MOD(ROW(#REF!),15)=11)*(#REF!=E$1))</f>
        <v>#REF!</v>
      </c>
      <c r="F23" t="e" cm="1">
        <f t="array" ref="F23">SUM((MOD(ROW(#REF!),15)=11)*(#REF!=F$1))</f>
        <v>#REF!</v>
      </c>
      <c r="G23" t="e" cm="1">
        <f t="array" ref="G23">SUM((MOD(ROW(#REF!),15)=11)*(#REF!=G$1))</f>
        <v>#REF!</v>
      </c>
      <c r="H23" t="e" cm="1">
        <f t="array" ref="H23">SUM((MOD(ROW(#REF!),15)=11)*(#REF!=H$1))</f>
        <v>#REF!</v>
      </c>
      <c r="I23" t="e" cm="1">
        <f t="array" ref="I23">SUM((MOD(ROW(#REF!),15)=11)*(#REF!=I$1))</f>
        <v>#REF!</v>
      </c>
      <c r="J23" t="e" cm="1">
        <f t="array" ref="J23">SUM((MOD(ROW(#REF!),15)=11)*(#REF!=J$1))</f>
        <v>#REF!</v>
      </c>
      <c r="K23" t="e" cm="1">
        <f t="array" ref="K23">SUM((MOD(ROW(#REF!),15)=11)*(#REF!=K$1))</f>
        <v>#REF!</v>
      </c>
      <c r="L23" t="e" cm="1">
        <f t="array" ref="L23">SUM((MOD(ROW(#REF!),15)=11)*(#REF!=L$1))</f>
        <v>#REF!</v>
      </c>
      <c r="M23" t="e" cm="1">
        <f t="array" ref="M23">SUM((MOD(ROW(#REF!),15)=11)*(#REF!=M$1))</f>
        <v>#REF!</v>
      </c>
      <c r="N23" t="e" cm="1">
        <f t="array" ref="N23">SUM((MOD(ROW(#REF!),15)=11)*(#REF!=N$1))</f>
        <v>#REF!</v>
      </c>
      <c r="O23" t="e" cm="1">
        <f t="array" ref="O23">SUM((MOD(ROW(#REF!),15)=11)*(#REF!=O$1))</f>
        <v>#REF!</v>
      </c>
      <c r="P23" t="e" cm="1">
        <f t="array" ref="P23">SUM((MOD(ROW(#REF!),15)=11)*(#REF!=P$1))</f>
        <v>#REF!</v>
      </c>
      <c r="Q23" t="e" cm="1">
        <f t="array" ref="Q23">SUM((MOD(ROW(#REF!),15)=11)*(#REF!=Q$1))</f>
        <v>#REF!</v>
      </c>
      <c r="R23" t="e" cm="1">
        <f t="array" ref="R23">SUM((MOD(ROW(#REF!),15)=11)*(#REF!=R$1))</f>
        <v>#REF!</v>
      </c>
      <c r="S23" t="e">
        <f t="shared" si="3"/>
        <v>#REF!</v>
      </c>
    </row>
    <row r="24" spans="1:19" x14ac:dyDescent="0.25">
      <c r="A24" t="s">
        <v>8</v>
      </c>
      <c r="B24" t="e" cm="1">
        <f t="array" ref="B24">SUM((MOD(ROW(#REF!),15)=12)*(#REF!=B$1))</f>
        <v>#REF!</v>
      </c>
      <c r="C24" t="e" cm="1">
        <f t="array" ref="C24">SUM((MOD(ROW(#REF!),15)=12)*(#REF!=C$1))</f>
        <v>#REF!</v>
      </c>
      <c r="D24" t="e" cm="1">
        <f t="array" ref="D24">SUM((MOD(ROW(#REF!),15)=12)*(#REF!=D$1))</f>
        <v>#REF!</v>
      </c>
      <c r="E24" t="e" cm="1">
        <f t="array" ref="E24">SUM((MOD(ROW(#REF!),15)=12)*(#REF!=E$1))</f>
        <v>#REF!</v>
      </c>
      <c r="F24" t="e" cm="1">
        <f t="array" ref="F24">SUM((MOD(ROW(#REF!),15)=12)*(#REF!=F$1))</f>
        <v>#REF!</v>
      </c>
      <c r="G24" t="e" cm="1">
        <f t="array" ref="G24">SUM((MOD(ROW(#REF!),15)=12)*(#REF!=G$1))</f>
        <v>#REF!</v>
      </c>
      <c r="H24" t="e" cm="1">
        <f t="array" ref="H24">SUM((MOD(ROW(#REF!),15)=12)*(#REF!=H$1))</f>
        <v>#REF!</v>
      </c>
      <c r="I24" t="e" cm="1">
        <f t="array" ref="I24">SUM((MOD(ROW(#REF!),15)=12)*(#REF!=I$1))</f>
        <v>#REF!</v>
      </c>
      <c r="J24" t="e" cm="1">
        <f t="array" ref="J24">SUM((MOD(ROW(#REF!),15)=12)*(#REF!=J$1))</f>
        <v>#REF!</v>
      </c>
      <c r="K24" t="e" cm="1">
        <f t="array" ref="K24">SUM((MOD(ROW(#REF!),15)=12)*(#REF!=K$1))</f>
        <v>#REF!</v>
      </c>
      <c r="L24" t="e" cm="1">
        <f t="array" ref="L24">SUM((MOD(ROW(#REF!),15)=12)*(#REF!=L$1))</f>
        <v>#REF!</v>
      </c>
      <c r="M24" t="e" cm="1">
        <f t="array" ref="M24">SUM((MOD(ROW(#REF!),15)=12)*(#REF!=M$1))</f>
        <v>#REF!</v>
      </c>
      <c r="N24" t="e" cm="1">
        <f t="array" ref="N24">SUM((MOD(ROW(#REF!),15)=12)*(#REF!=N$1))</f>
        <v>#REF!</v>
      </c>
      <c r="O24" t="e" cm="1">
        <f t="array" ref="O24">SUM((MOD(ROW(#REF!),15)=12)*(#REF!=O$1))</f>
        <v>#REF!</v>
      </c>
      <c r="P24" t="e" cm="1">
        <f t="array" ref="P24">SUM((MOD(ROW(#REF!),15)=12)*(#REF!=P$1))</f>
        <v>#REF!</v>
      </c>
      <c r="Q24" t="e" cm="1">
        <f t="array" ref="Q24">SUM((MOD(ROW(#REF!),15)=12)*(#REF!=Q$1))</f>
        <v>#REF!</v>
      </c>
      <c r="R24" t="e" cm="1">
        <f t="array" ref="R24">SUM((MOD(ROW(#REF!),15)=12)*(#REF!=R$1))</f>
        <v>#REF!</v>
      </c>
      <c r="S24" t="e">
        <f t="shared" si="3"/>
        <v>#REF!</v>
      </c>
    </row>
    <row r="25" spans="1:19" x14ac:dyDescent="0.25">
      <c r="A25" t="s">
        <v>9</v>
      </c>
      <c r="B25" t="e" cm="1">
        <f t="array" ref="B25">SUM((MOD(ROW(#REF!),15)=13)*(#REF!=B$1))</f>
        <v>#REF!</v>
      </c>
      <c r="C25" t="e" cm="1">
        <f t="array" ref="C25">SUM((MOD(ROW(#REF!),15)=13)*(#REF!=C$1))</f>
        <v>#REF!</v>
      </c>
      <c r="D25" t="e" cm="1">
        <f t="array" ref="D25">SUM((MOD(ROW(#REF!),15)=13)*(#REF!=D$1))</f>
        <v>#REF!</v>
      </c>
      <c r="E25" t="e" cm="1">
        <f t="array" ref="E25">SUM((MOD(ROW(#REF!),15)=13)*(#REF!=E$1))</f>
        <v>#REF!</v>
      </c>
      <c r="F25" t="e" cm="1">
        <f t="array" ref="F25">SUM((MOD(ROW(#REF!),15)=13)*(#REF!=F$1))</f>
        <v>#REF!</v>
      </c>
      <c r="G25" t="e" cm="1">
        <f t="array" ref="G25">SUM((MOD(ROW(#REF!),15)=13)*(#REF!=G$1))</f>
        <v>#REF!</v>
      </c>
      <c r="H25" t="e" cm="1">
        <f t="array" ref="H25">SUM((MOD(ROW(#REF!),15)=13)*(#REF!=H$1))</f>
        <v>#REF!</v>
      </c>
      <c r="I25" t="e" cm="1">
        <f t="array" ref="I25">SUM((MOD(ROW(#REF!),15)=13)*(#REF!=I$1))</f>
        <v>#REF!</v>
      </c>
      <c r="J25" t="e" cm="1">
        <f t="array" ref="J25">SUM((MOD(ROW(#REF!),15)=13)*(#REF!=J$1))</f>
        <v>#REF!</v>
      </c>
      <c r="K25" t="e" cm="1">
        <f t="array" ref="K25">SUM((MOD(ROW(#REF!),15)=13)*(#REF!=K$1))</f>
        <v>#REF!</v>
      </c>
      <c r="L25" t="e" cm="1">
        <f t="array" ref="L25">SUM((MOD(ROW(#REF!),15)=13)*(#REF!=L$1))</f>
        <v>#REF!</v>
      </c>
      <c r="M25" t="e" cm="1">
        <f t="array" ref="M25">SUM((MOD(ROW(#REF!),15)=13)*(#REF!=M$1))</f>
        <v>#REF!</v>
      </c>
      <c r="N25" t="e" cm="1">
        <f t="array" ref="N25">SUM((MOD(ROW(#REF!),15)=13)*(#REF!=N$1))</f>
        <v>#REF!</v>
      </c>
      <c r="O25" t="e" cm="1">
        <f t="array" ref="O25">SUM((MOD(ROW(#REF!),15)=13)*(#REF!=O$1))</f>
        <v>#REF!</v>
      </c>
      <c r="P25" t="e" cm="1">
        <f t="array" ref="P25">SUM((MOD(ROW(#REF!),15)=13)*(#REF!=P$1))</f>
        <v>#REF!</v>
      </c>
      <c r="Q25" t="e" cm="1">
        <f t="array" ref="Q25">SUM((MOD(ROW(#REF!),15)=13)*(#REF!=Q$1))</f>
        <v>#REF!</v>
      </c>
      <c r="R25" t="e" cm="1">
        <f t="array" ref="R25">SUM((MOD(ROW(#REF!),15)=13)*(#REF!=R$1))</f>
        <v>#REF!</v>
      </c>
      <c r="S25" t="e">
        <f t="shared" si="3"/>
        <v>#REF!</v>
      </c>
    </row>
    <row r="26" spans="1:19" x14ac:dyDescent="0.25">
      <c r="A26" t="s">
        <v>10</v>
      </c>
      <c r="B26" t="e" cm="1">
        <f t="array" ref="B26">SUM((MOD(ROW(#REF!),15)=14)*(#REF!=B$1))</f>
        <v>#REF!</v>
      </c>
      <c r="C26" t="e" cm="1">
        <f t="array" ref="C26">SUM((MOD(ROW(#REF!),15)=14)*(#REF!=C$1))</f>
        <v>#REF!</v>
      </c>
      <c r="D26" t="e" cm="1">
        <f t="array" ref="D26">SUM((MOD(ROW(#REF!),15)=14)*(#REF!=D$1))</f>
        <v>#REF!</v>
      </c>
      <c r="E26" t="e" cm="1">
        <f t="array" ref="E26">SUM((MOD(ROW(#REF!),15)=14)*(#REF!=E$1))</f>
        <v>#REF!</v>
      </c>
      <c r="F26" t="e" cm="1">
        <f t="array" ref="F26">SUM((MOD(ROW(#REF!),15)=14)*(#REF!=F$1))</f>
        <v>#REF!</v>
      </c>
      <c r="G26" t="e" cm="1">
        <f t="array" ref="G26">SUM((MOD(ROW(#REF!),15)=14)*(#REF!=G$1))</f>
        <v>#REF!</v>
      </c>
      <c r="H26" t="e" cm="1">
        <f t="array" ref="H26">SUM((MOD(ROW(#REF!),15)=14)*(#REF!=H$1))</f>
        <v>#REF!</v>
      </c>
      <c r="I26" t="e" cm="1">
        <f t="array" ref="I26">SUM((MOD(ROW(#REF!),15)=14)*(#REF!=I$1))</f>
        <v>#REF!</v>
      </c>
      <c r="J26" t="e" cm="1">
        <f t="array" ref="J26">SUM((MOD(ROW(#REF!),15)=14)*(#REF!=J$1))</f>
        <v>#REF!</v>
      </c>
      <c r="K26" t="e" cm="1">
        <f t="array" ref="K26">SUM((MOD(ROW(#REF!),15)=14)*(#REF!=K$1))</f>
        <v>#REF!</v>
      </c>
      <c r="L26" t="e" cm="1">
        <f t="array" ref="L26">SUM((MOD(ROW(#REF!),15)=14)*(#REF!=L$1))</f>
        <v>#REF!</v>
      </c>
      <c r="M26" t="e" cm="1">
        <f t="array" ref="M26">SUM((MOD(ROW(#REF!),15)=14)*(#REF!=M$1))</f>
        <v>#REF!</v>
      </c>
      <c r="N26" t="e" cm="1">
        <f t="array" ref="N26">SUM((MOD(ROW(#REF!),15)=14)*(#REF!=N$1))</f>
        <v>#REF!</v>
      </c>
      <c r="O26" t="e" cm="1">
        <f t="array" ref="O26">SUM((MOD(ROW(#REF!),15)=14)*(#REF!=O$1))</f>
        <v>#REF!</v>
      </c>
      <c r="P26" t="e" cm="1">
        <f t="array" ref="P26">SUM((MOD(ROW(#REF!),15)=14)*(#REF!=P$1))</f>
        <v>#REF!</v>
      </c>
      <c r="Q26" t="e" cm="1">
        <f t="array" ref="Q26">SUM((MOD(ROW(#REF!),15)=14)*(#REF!=Q$1))</f>
        <v>#REF!</v>
      </c>
      <c r="R26" t="e" cm="1">
        <f t="array" ref="R26">SUM((MOD(ROW(#REF!),15)=14)*(#REF!=R$1))</f>
        <v>#REF!</v>
      </c>
      <c r="S26" t="e">
        <f t="shared" si="3"/>
        <v>#REF!</v>
      </c>
    </row>
    <row r="27" spans="1:19" x14ac:dyDescent="0.25">
      <c r="A27" t="s">
        <v>11</v>
      </c>
      <c r="B27" t="e" cm="1">
        <f t="array" ref="B27">SUM((MOD(ROW(#REF!),15)=0)*(#REF!=B$1))</f>
        <v>#REF!</v>
      </c>
      <c r="C27" t="e" cm="1">
        <f t="array" ref="C27">SUM((MOD(ROW(#REF!),15)=0)*(#REF!=C$1))</f>
        <v>#REF!</v>
      </c>
      <c r="D27" t="e" cm="1">
        <f t="array" ref="D27">SUM((MOD(ROW(#REF!),15)=0)*(#REF!=D$1))</f>
        <v>#REF!</v>
      </c>
      <c r="E27" t="e" cm="1">
        <f t="array" ref="E27">SUM((MOD(ROW(#REF!),15)=0)*(#REF!=E$1))</f>
        <v>#REF!</v>
      </c>
      <c r="F27" t="e" cm="1">
        <f t="array" ref="F27">SUM((MOD(ROW(#REF!),15)=0)*(#REF!=F$1))</f>
        <v>#REF!</v>
      </c>
      <c r="G27" t="e" cm="1">
        <f t="array" ref="G27">SUM((MOD(ROW(#REF!),15)=0)*(#REF!=G$1))</f>
        <v>#REF!</v>
      </c>
      <c r="H27" t="e" cm="1">
        <f t="array" ref="H27">SUM((MOD(ROW(#REF!),15)=0)*(#REF!=H$1))</f>
        <v>#REF!</v>
      </c>
      <c r="I27" t="e" cm="1">
        <f t="array" ref="I27">SUM((MOD(ROW(#REF!),15)=0)*(#REF!=I$1))</f>
        <v>#REF!</v>
      </c>
      <c r="J27" t="e" cm="1">
        <f t="array" ref="J27">SUM((MOD(ROW(#REF!),15)=0)*(#REF!=J$1))</f>
        <v>#REF!</v>
      </c>
      <c r="K27" t="e" cm="1">
        <f t="array" ref="K27">SUM((MOD(ROW(#REF!),15)=0)*(#REF!=K$1))</f>
        <v>#REF!</v>
      </c>
      <c r="L27" t="e" cm="1">
        <f t="array" ref="L27">SUM((MOD(ROW(#REF!),15)=0)*(#REF!=L$1))</f>
        <v>#REF!</v>
      </c>
      <c r="M27" t="e" cm="1">
        <f t="array" ref="M27">SUM((MOD(ROW(#REF!),15)=0)*(#REF!=M$1))</f>
        <v>#REF!</v>
      </c>
      <c r="N27" t="e" cm="1">
        <f t="array" ref="N27">SUM((MOD(ROW(#REF!),15)=0)*(#REF!=N$1))</f>
        <v>#REF!</v>
      </c>
      <c r="O27" t="e" cm="1">
        <f t="array" ref="O27">SUM((MOD(ROW(#REF!),15)=0)*(#REF!=O$1))</f>
        <v>#REF!</v>
      </c>
      <c r="P27" t="e" cm="1">
        <f t="array" ref="P27">SUM((MOD(ROW(#REF!),15)=0)*(#REF!=P$1))</f>
        <v>#REF!</v>
      </c>
      <c r="Q27" t="e" cm="1">
        <f t="array" ref="Q27">SUM((MOD(ROW(#REF!),15)=0)*(#REF!=Q$1))</f>
        <v>#REF!</v>
      </c>
      <c r="R27" t="e" cm="1">
        <f t="array" ref="R27">SUM((MOD(ROW(#REF!),15)=0)*(#REF!=R$1))</f>
        <v>#REF!</v>
      </c>
      <c r="S27" t="e">
        <f t="shared" si="3"/>
        <v>#REF!</v>
      </c>
    </row>
    <row r="28" spans="1:19" x14ac:dyDescent="0.25">
      <c r="A28" t="s">
        <v>12</v>
      </c>
      <c r="B28" t="e" cm="1">
        <f t="array" ref="B28">SUM((MOD(ROW(#REF!),15)=1)*(#REF!=B$1))</f>
        <v>#REF!</v>
      </c>
      <c r="C28" t="e" cm="1">
        <f t="array" ref="C28">SUM((MOD(ROW(#REF!),15)=1)*(#REF!=C$1))</f>
        <v>#REF!</v>
      </c>
      <c r="D28" t="e" cm="1">
        <f t="array" ref="D28">SUM((MOD(ROW(#REF!),15)=1)*(#REF!=D$1))</f>
        <v>#REF!</v>
      </c>
      <c r="E28" t="e" cm="1">
        <f t="array" ref="E28">SUM((MOD(ROW(#REF!),15)=1)*(#REF!=E$1))</f>
        <v>#REF!</v>
      </c>
      <c r="F28" t="e" cm="1">
        <f t="array" ref="F28">SUM((MOD(ROW(#REF!),15)=1)*(#REF!=F$1))</f>
        <v>#REF!</v>
      </c>
      <c r="G28" t="e" cm="1">
        <f t="array" ref="G28">SUM((MOD(ROW(#REF!),15)=1)*(#REF!=G$1))</f>
        <v>#REF!</v>
      </c>
      <c r="H28" t="e" cm="1">
        <f t="array" ref="H28">SUM((MOD(ROW(#REF!),15)=1)*(#REF!=H$1))</f>
        <v>#REF!</v>
      </c>
      <c r="I28" t="e" cm="1">
        <f t="array" ref="I28">SUM((MOD(ROW(#REF!),15)=1)*(#REF!=I$1))</f>
        <v>#REF!</v>
      </c>
      <c r="J28" t="e" cm="1">
        <f t="array" ref="J28">SUM((MOD(ROW(#REF!),15)=1)*(#REF!=J$1))</f>
        <v>#REF!</v>
      </c>
      <c r="K28" t="e" cm="1">
        <f t="array" ref="K28">SUM((MOD(ROW(#REF!),15)=1)*(#REF!=K$1))</f>
        <v>#REF!</v>
      </c>
      <c r="L28" t="e" cm="1">
        <f t="array" ref="L28">SUM((MOD(ROW(#REF!),15)=1)*(#REF!=L$1))</f>
        <v>#REF!</v>
      </c>
      <c r="M28" t="e" cm="1">
        <f t="array" ref="M28">SUM((MOD(ROW(#REF!),15)=1)*(#REF!=M$1))</f>
        <v>#REF!</v>
      </c>
      <c r="N28" t="e" cm="1">
        <f t="array" ref="N28">SUM((MOD(ROW(#REF!),15)=1)*(#REF!=N$1))</f>
        <v>#REF!</v>
      </c>
      <c r="O28" t="e" cm="1">
        <f t="array" ref="O28">SUM((MOD(ROW(#REF!),15)=1)*(#REF!=O$1))</f>
        <v>#REF!</v>
      </c>
      <c r="P28" t="e" cm="1">
        <f t="array" ref="P28">SUM((MOD(ROW(#REF!),15)=1)*(#REF!=P$1))</f>
        <v>#REF!</v>
      </c>
      <c r="Q28" t="e" cm="1">
        <f t="array" ref="Q28">SUM((MOD(ROW(#REF!),15)=1)*(#REF!=Q$1))</f>
        <v>#REF!</v>
      </c>
      <c r="R28" t="e" cm="1">
        <f t="array" ref="R28">SUM((MOD(ROW(#REF!),15)=1)*(#REF!=R$1))</f>
        <v>#REF!</v>
      </c>
      <c r="S28" t="e">
        <f t="shared" si="3"/>
        <v>#REF!</v>
      </c>
    </row>
    <row r="29" spans="1:19" x14ac:dyDescent="0.25">
      <c r="A29" t="s">
        <v>13</v>
      </c>
      <c r="B29" t="e" cm="1">
        <f t="array" ref="B29">SUM((MOD(ROW(#REF!),15)=2)*(#REF!=B$1))</f>
        <v>#REF!</v>
      </c>
      <c r="C29" t="e" cm="1">
        <f t="array" ref="C29">SUM((MOD(ROW(#REF!),15)=2)*(#REF!=C$1))</f>
        <v>#REF!</v>
      </c>
      <c r="D29" t="e" cm="1">
        <f t="array" ref="D29">SUM((MOD(ROW(#REF!),15)=2)*(#REF!=D$1))</f>
        <v>#REF!</v>
      </c>
      <c r="E29" t="e" cm="1">
        <f t="array" ref="E29">SUM((MOD(ROW(#REF!),15)=2)*(#REF!=E$1))</f>
        <v>#REF!</v>
      </c>
      <c r="F29" t="e" cm="1">
        <f t="array" ref="F29">SUM((MOD(ROW(#REF!),15)=2)*(#REF!=F$1))</f>
        <v>#REF!</v>
      </c>
      <c r="G29" t="e" cm="1">
        <f t="array" ref="G29">SUM((MOD(ROW(#REF!),15)=2)*(#REF!=G$1))</f>
        <v>#REF!</v>
      </c>
      <c r="H29" t="e" cm="1">
        <f t="array" ref="H29">SUM((MOD(ROW(#REF!),15)=2)*(#REF!=H$1))</f>
        <v>#REF!</v>
      </c>
      <c r="I29" t="e" cm="1">
        <f t="array" ref="I29">SUM((MOD(ROW(#REF!),15)=2)*(#REF!=I$1))</f>
        <v>#REF!</v>
      </c>
      <c r="J29" t="e" cm="1">
        <f t="array" ref="J29">SUM((MOD(ROW(#REF!),15)=2)*(#REF!=J$1))</f>
        <v>#REF!</v>
      </c>
      <c r="K29" t="e" cm="1">
        <f t="array" ref="K29">SUM((MOD(ROW(#REF!),15)=2)*(#REF!=K$1))</f>
        <v>#REF!</v>
      </c>
      <c r="L29" t="e" cm="1">
        <f t="array" ref="L29">SUM((MOD(ROW(#REF!),15)=2)*(#REF!=L$1))</f>
        <v>#REF!</v>
      </c>
      <c r="M29" t="e" cm="1">
        <f t="array" ref="M29">SUM((MOD(ROW(#REF!),15)=2)*(#REF!=M$1))</f>
        <v>#REF!</v>
      </c>
      <c r="N29" t="e" cm="1">
        <f t="array" ref="N29">SUM((MOD(ROW(#REF!),15)=2)*(#REF!=N$1))</f>
        <v>#REF!</v>
      </c>
      <c r="O29" t="e" cm="1">
        <f t="array" ref="O29">SUM((MOD(ROW(#REF!),15)=2)*(#REF!=O$1))</f>
        <v>#REF!</v>
      </c>
      <c r="P29" t="e" cm="1">
        <f t="array" ref="P29">SUM((MOD(ROW(#REF!),15)=2)*(#REF!=P$1))</f>
        <v>#REF!</v>
      </c>
      <c r="Q29" t="e" cm="1">
        <f t="array" ref="Q29">SUM((MOD(ROW(#REF!),15)=2)*(#REF!=Q$1))</f>
        <v>#REF!</v>
      </c>
      <c r="R29" t="e" cm="1">
        <f t="array" ref="R29">SUM((MOD(ROW(#REF!),15)=2)*(#REF!=R$1))</f>
        <v>#REF!</v>
      </c>
      <c r="S29" t="e">
        <f t="shared" si="3"/>
        <v>#REF!</v>
      </c>
    </row>
    <row r="30" spans="1:19" x14ac:dyDescent="0.25">
      <c r="A30" t="s">
        <v>14</v>
      </c>
      <c r="B30" t="e" cm="1">
        <f t="array" ref="B30">SUM((MOD(ROW(#REF!),15)=3)*(#REF!=B$1))</f>
        <v>#REF!</v>
      </c>
      <c r="C30" t="e" cm="1">
        <f t="array" ref="C30">SUM((MOD(ROW(#REF!),15)=3)*(#REF!=C$1))</f>
        <v>#REF!</v>
      </c>
      <c r="D30" t="e" cm="1">
        <f t="array" ref="D30">SUM((MOD(ROW(#REF!),15)=3)*(#REF!=D$1))</f>
        <v>#REF!</v>
      </c>
      <c r="E30" t="e" cm="1">
        <f t="array" ref="E30">SUM((MOD(ROW(#REF!),15)=3)*(#REF!=E$1))</f>
        <v>#REF!</v>
      </c>
      <c r="F30" t="e" cm="1">
        <f t="array" ref="F30">SUM((MOD(ROW(#REF!),15)=3)*(#REF!=F$1))</f>
        <v>#REF!</v>
      </c>
      <c r="G30" t="e" cm="1">
        <f t="array" ref="G30">SUM((MOD(ROW(#REF!),15)=3)*(#REF!=G$1))</f>
        <v>#REF!</v>
      </c>
      <c r="H30" t="e" cm="1">
        <f t="array" ref="H30">SUM((MOD(ROW(#REF!),15)=3)*(#REF!=H$1))</f>
        <v>#REF!</v>
      </c>
      <c r="I30" t="e" cm="1">
        <f t="array" ref="I30">SUM((MOD(ROW(#REF!),15)=3)*(#REF!=I$1))</f>
        <v>#REF!</v>
      </c>
      <c r="J30" t="e" cm="1">
        <f t="array" ref="J30">SUM((MOD(ROW(#REF!),15)=3)*(#REF!=J$1))</f>
        <v>#REF!</v>
      </c>
      <c r="K30" t="e" cm="1">
        <f t="array" ref="K30">SUM((MOD(ROW(#REF!),15)=3)*(#REF!=K$1))</f>
        <v>#REF!</v>
      </c>
      <c r="L30" t="e" cm="1">
        <f t="array" ref="L30">SUM((MOD(ROW(#REF!),15)=3)*(#REF!=L$1))</f>
        <v>#REF!</v>
      </c>
      <c r="M30" t="e" cm="1">
        <f t="array" ref="M30">SUM((MOD(ROW(#REF!),15)=3)*(#REF!=M$1))</f>
        <v>#REF!</v>
      </c>
      <c r="N30" t="e" cm="1">
        <f t="array" ref="N30">SUM((MOD(ROW(#REF!),15)=3)*(#REF!=N$1))</f>
        <v>#REF!</v>
      </c>
      <c r="O30" t="e" cm="1">
        <f t="array" ref="O30">SUM((MOD(ROW(#REF!),15)=3)*(#REF!=O$1))</f>
        <v>#REF!</v>
      </c>
      <c r="P30" t="e" cm="1">
        <f t="array" ref="P30">SUM((MOD(ROW(#REF!),15)=3)*(#REF!=P$1))</f>
        <v>#REF!</v>
      </c>
      <c r="Q30" t="e" cm="1">
        <f t="array" ref="Q30">SUM((MOD(ROW(#REF!),15)=3)*(#REF!=Q$1))</f>
        <v>#REF!</v>
      </c>
      <c r="R30" t="e" cm="1">
        <f t="array" ref="R30">SUM((MOD(ROW(#REF!),15)=3)*(#REF!=R$1))</f>
        <v>#REF!</v>
      </c>
      <c r="S30" t="e">
        <f t="shared" si="3"/>
        <v>#REF!</v>
      </c>
    </row>
    <row r="31" spans="1:19" x14ac:dyDescent="0.25">
      <c r="A31" t="s">
        <v>15</v>
      </c>
      <c r="B31" t="e" cm="1">
        <f t="array" ref="B31">SUM((MOD(ROW(#REF!),15)=4)*(#REF!=B$1))</f>
        <v>#REF!</v>
      </c>
      <c r="C31" t="e" cm="1">
        <f t="array" ref="C31">SUM((MOD(ROW(#REF!),15)=4)*(#REF!=C$1))</f>
        <v>#REF!</v>
      </c>
      <c r="D31" t="e" cm="1">
        <f t="array" ref="D31">SUM((MOD(ROW(#REF!),15)=4)*(#REF!=D$1))</f>
        <v>#REF!</v>
      </c>
      <c r="E31" t="e" cm="1">
        <f t="array" ref="E31">SUM((MOD(ROW(#REF!),15)=4)*(#REF!=E$1))</f>
        <v>#REF!</v>
      </c>
      <c r="F31" t="e" cm="1">
        <f t="array" ref="F31">SUM((MOD(ROW(#REF!),15)=4)*(#REF!=F$1))</f>
        <v>#REF!</v>
      </c>
      <c r="G31" t="e" cm="1">
        <f t="array" ref="G31">SUM((MOD(ROW(#REF!),15)=4)*(#REF!=G$1))</f>
        <v>#REF!</v>
      </c>
      <c r="H31" t="e" cm="1">
        <f t="array" ref="H31">SUM((MOD(ROW(#REF!),15)=4)*(#REF!=H$1))</f>
        <v>#REF!</v>
      </c>
      <c r="I31" t="e" cm="1">
        <f t="array" ref="I31">SUM((MOD(ROW(#REF!),15)=4)*(#REF!=I$1))</f>
        <v>#REF!</v>
      </c>
      <c r="J31" t="e" cm="1">
        <f t="array" ref="J31">SUM((MOD(ROW(#REF!),15)=4)*(#REF!=J$1))</f>
        <v>#REF!</v>
      </c>
      <c r="K31" t="e" cm="1">
        <f t="array" ref="K31">SUM((MOD(ROW(#REF!),15)=4)*(#REF!=K$1))</f>
        <v>#REF!</v>
      </c>
      <c r="L31" t="e" cm="1">
        <f t="array" ref="L31">SUM((MOD(ROW(#REF!),15)=4)*(#REF!=L$1))</f>
        <v>#REF!</v>
      </c>
      <c r="M31" t="e" cm="1">
        <f t="array" ref="M31">SUM((MOD(ROW(#REF!),15)=4)*(#REF!=M$1))</f>
        <v>#REF!</v>
      </c>
      <c r="N31" t="e" cm="1">
        <f t="array" ref="N31">SUM((MOD(ROW(#REF!),15)=4)*(#REF!=N$1))</f>
        <v>#REF!</v>
      </c>
      <c r="O31" t="e" cm="1">
        <f t="array" ref="O31">SUM((MOD(ROW(#REF!),15)=4)*(#REF!=O$1))</f>
        <v>#REF!</v>
      </c>
      <c r="P31" t="e" cm="1">
        <f t="array" ref="P31">SUM((MOD(ROW(#REF!),15)=4)*(#REF!=P$1))</f>
        <v>#REF!</v>
      </c>
      <c r="Q31" t="e" cm="1">
        <f t="array" ref="Q31">SUM((MOD(ROW(#REF!),15)=4)*(#REF!=Q$1))</f>
        <v>#REF!</v>
      </c>
      <c r="R31" t="e" cm="1">
        <f t="array" ref="R31">SUM((MOD(ROW(#REF!),15)=4)*(#REF!=R$1))</f>
        <v>#REF!</v>
      </c>
      <c r="S31" t="e">
        <f t="shared" si="3"/>
        <v>#REF!</v>
      </c>
    </row>
    <row r="32" spans="1:19" x14ac:dyDescent="0.25">
      <c r="A32" t="s">
        <v>16</v>
      </c>
      <c r="B32" t="e" cm="1">
        <f t="array" ref="B32">SUM((MOD(ROW(#REF!),15)=5)*(#REF!=B$1))</f>
        <v>#REF!</v>
      </c>
      <c r="C32" t="e" cm="1">
        <f t="array" ref="C32">SUM((MOD(ROW(#REF!),15)=5)*(#REF!=C$1))</f>
        <v>#REF!</v>
      </c>
      <c r="D32" t="e" cm="1">
        <f t="array" ref="D32">SUM((MOD(ROW(#REF!),15)=5)*(#REF!=D$1))</f>
        <v>#REF!</v>
      </c>
      <c r="E32" t="e" cm="1">
        <f t="array" ref="E32">SUM((MOD(ROW(#REF!),15)=5)*(#REF!=E$1))</f>
        <v>#REF!</v>
      </c>
      <c r="F32" t="e" cm="1">
        <f t="array" ref="F32">SUM((MOD(ROW(#REF!),15)=5)*(#REF!=F$1))</f>
        <v>#REF!</v>
      </c>
      <c r="G32" t="e" cm="1">
        <f t="array" ref="G32">SUM((MOD(ROW(#REF!),15)=5)*(#REF!=G$1))</f>
        <v>#REF!</v>
      </c>
      <c r="H32" t="e" cm="1">
        <f t="array" ref="H32">SUM((MOD(ROW(#REF!),15)=5)*(#REF!=H$1))</f>
        <v>#REF!</v>
      </c>
      <c r="I32" t="e" cm="1">
        <f t="array" ref="I32">SUM((MOD(ROW(#REF!),15)=5)*(#REF!=I$1))</f>
        <v>#REF!</v>
      </c>
      <c r="J32" t="e" cm="1">
        <f t="array" ref="J32">SUM((MOD(ROW(#REF!),15)=5)*(#REF!=J$1))</f>
        <v>#REF!</v>
      </c>
      <c r="K32" t="e" cm="1">
        <f t="array" ref="K32">SUM((MOD(ROW(#REF!),15)=5)*(#REF!=K$1))</f>
        <v>#REF!</v>
      </c>
      <c r="L32" t="e" cm="1">
        <f t="array" ref="L32">SUM((MOD(ROW(#REF!),15)=5)*(#REF!=L$1))</f>
        <v>#REF!</v>
      </c>
      <c r="M32" t="e" cm="1">
        <f t="array" ref="M32">SUM((MOD(ROW(#REF!),15)=5)*(#REF!=M$1))</f>
        <v>#REF!</v>
      </c>
      <c r="N32" t="e" cm="1">
        <f t="array" ref="N32">SUM((MOD(ROW(#REF!),15)=5)*(#REF!=N$1))</f>
        <v>#REF!</v>
      </c>
      <c r="O32" t="e" cm="1">
        <f t="array" ref="O32">SUM((MOD(ROW(#REF!),15)=5)*(#REF!=O$1))</f>
        <v>#REF!</v>
      </c>
      <c r="P32" t="e" cm="1">
        <f t="array" ref="P32">SUM((MOD(ROW(#REF!),15)=5)*(#REF!=P$1))</f>
        <v>#REF!</v>
      </c>
      <c r="Q32" t="e" cm="1">
        <f t="array" ref="Q32">SUM((MOD(ROW(#REF!),15)=5)*(#REF!=Q$1))</f>
        <v>#REF!</v>
      </c>
      <c r="R32" t="e" cm="1">
        <f t="array" ref="R32">SUM((MOD(ROW(#REF!),15)=5)*(#REF!=R$1))</f>
        <v>#REF!</v>
      </c>
      <c r="S32" t="e">
        <f t="shared" si="3"/>
        <v>#REF!</v>
      </c>
    </row>
    <row r="33" spans="1:19" x14ac:dyDescent="0.25">
      <c r="A33" s="10" t="s">
        <v>22</v>
      </c>
      <c r="B33" t="e">
        <f>SUM(B19:B32)</f>
        <v>#REF!</v>
      </c>
      <c r="C33" t="e">
        <f t="shared" ref="C33:P33" si="4">SUM(C19:C32)</f>
        <v>#REF!</v>
      </c>
      <c r="D33" t="e">
        <f t="shared" si="4"/>
        <v>#REF!</v>
      </c>
      <c r="E33" t="e">
        <f t="shared" si="4"/>
        <v>#REF!</v>
      </c>
      <c r="F33" t="e">
        <f t="shared" si="4"/>
        <v>#REF!</v>
      </c>
      <c r="G33" t="e">
        <f t="shared" si="4"/>
        <v>#REF!</v>
      </c>
      <c r="H33" t="e">
        <f t="shared" si="4"/>
        <v>#REF!</v>
      </c>
      <c r="I33" t="e">
        <f t="shared" si="4"/>
        <v>#REF!</v>
      </c>
      <c r="J33" t="e">
        <f t="shared" si="4"/>
        <v>#REF!</v>
      </c>
      <c r="K33" t="e">
        <f t="shared" si="4"/>
        <v>#REF!</v>
      </c>
      <c r="L33" t="e">
        <f t="shared" si="4"/>
        <v>#REF!</v>
      </c>
      <c r="M33" t="e">
        <f t="shared" si="4"/>
        <v>#REF!</v>
      </c>
      <c r="N33" t="e">
        <f t="shared" si="4"/>
        <v>#REF!</v>
      </c>
      <c r="O33" t="e">
        <f t="shared" si="4"/>
        <v>#REF!</v>
      </c>
      <c r="P33" t="e">
        <f t="shared" si="4"/>
        <v>#REF!</v>
      </c>
      <c r="Q33" t="e">
        <f t="shared" ref="Q33:R33" si="5">SUM(Q19:Q32)</f>
        <v>#REF!</v>
      </c>
      <c r="R33" t="e">
        <f t="shared" si="5"/>
        <v>#REF!</v>
      </c>
      <c r="S33" t="e">
        <f t="shared" si="3"/>
        <v>#REF!</v>
      </c>
    </row>
    <row r="34" spans="1:19" x14ac:dyDescent="0.25">
      <c r="A34" s="9" t="s">
        <v>21</v>
      </c>
    </row>
    <row r="35" spans="1:19" x14ac:dyDescent="0.25">
      <c r="A35" s="8" t="s">
        <v>3</v>
      </c>
      <c r="B35" t="e">
        <f ca="1">B3-B19</f>
        <v>#REF!</v>
      </c>
      <c r="C35" t="e">
        <f t="shared" ref="C35:R35" ca="1" si="6">C3-C19</f>
        <v>#REF!</v>
      </c>
      <c r="D35" t="e">
        <f t="shared" ca="1" si="6"/>
        <v>#REF!</v>
      </c>
      <c r="E35" t="e">
        <f t="shared" ca="1" si="6"/>
        <v>#REF!</v>
      </c>
      <c r="F35" t="e">
        <f t="shared" ca="1" si="6"/>
        <v>#REF!</v>
      </c>
      <c r="G35" t="e">
        <f t="shared" ca="1" si="6"/>
        <v>#REF!</v>
      </c>
      <c r="H35" t="e">
        <f t="shared" ca="1" si="6"/>
        <v>#REF!</v>
      </c>
      <c r="I35" t="e">
        <f t="shared" ca="1" si="6"/>
        <v>#REF!</v>
      </c>
      <c r="J35" t="e">
        <f t="shared" ca="1" si="6"/>
        <v>#REF!</v>
      </c>
      <c r="K35" t="e">
        <f t="shared" ca="1" si="6"/>
        <v>#REF!</v>
      </c>
      <c r="L35" t="e">
        <f t="shared" ca="1" si="6"/>
        <v>#REF!</v>
      </c>
      <c r="M35" t="e">
        <f t="shared" ca="1" si="6"/>
        <v>#REF!</v>
      </c>
      <c r="N35" t="e">
        <f t="shared" ca="1" si="6"/>
        <v>#REF!</v>
      </c>
      <c r="O35" t="e">
        <f t="shared" ca="1" si="6"/>
        <v>#REF!</v>
      </c>
      <c r="P35" t="e">
        <f t="shared" ca="1" si="6"/>
        <v>#REF!</v>
      </c>
      <c r="Q35" t="e">
        <f t="shared" ca="1" si="6"/>
        <v>#REF!</v>
      </c>
      <c r="R35" t="e">
        <f t="shared" ca="1" si="6"/>
        <v>#REF!</v>
      </c>
    </row>
    <row r="36" spans="1:19" x14ac:dyDescent="0.25">
      <c r="A36" t="s">
        <v>4</v>
      </c>
      <c r="B36" t="e">
        <f t="shared" ref="B36:Q48" ca="1" si="7">B4-B20</f>
        <v>#REF!</v>
      </c>
      <c r="C36" t="e">
        <f t="shared" ca="1" si="7"/>
        <v>#REF!</v>
      </c>
      <c r="D36" t="e">
        <f t="shared" ca="1" si="7"/>
        <v>#REF!</v>
      </c>
      <c r="E36" t="e">
        <f t="shared" ca="1" si="7"/>
        <v>#REF!</v>
      </c>
      <c r="F36" t="e">
        <f t="shared" ca="1" si="7"/>
        <v>#REF!</v>
      </c>
      <c r="G36" t="e">
        <f t="shared" ca="1" si="7"/>
        <v>#REF!</v>
      </c>
      <c r="H36" t="e">
        <f t="shared" ca="1" si="7"/>
        <v>#REF!</v>
      </c>
      <c r="I36" t="e">
        <f t="shared" ca="1" si="7"/>
        <v>#REF!</v>
      </c>
      <c r="J36" t="e">
        <f t="shared" ca="1" si="7"/>
        <v>#REF!</v>
      </c>
      <c r="K36" t="e">
        <f t="shared" ca="1" si="7"/>
        <v>#REF!</v>
      </c>
      <c r="L36" t="e">
        <f t="shared" ca="1" si="7"/>
        <v>#REF!</v>
      </c>
      <c r="M36" t="e">
        <f t="shared" ca="1" si="7"/>
        <v>#REF!</v>
      </c>
      <c r="N36" t="e">
        <f t="shared" ca="1" si="7"/>
        <v>#REF!</v>
      </c>
      <c r="O36" t="e">
        <f t="shared" ca="1" si="7"/>
        <v>#REF!</v>
      </c>
      <c r="P36" t="e">
        <f t="shared" ca="1" si="7"/>
        <v>#REF!</v>
      </c>
      <c r="Q36" t="e">
        <f t="shared" ca="1" si="7"/>
        <v>#REF!</v>
      </c>
      <c r="R36" t="e">
        <f t="shared" ref="R36" ca="1" si="8">R4-R20</f>
        <v>#REF!</v>
      </c>
    </row>
    <row r="37" spans="1:19" x14ac:dyDescent="0.25">
      <c r="A37" t="s">
        <v>5</v>
      </c>
      <c r="B37" t="e">
        <f t="shared" ca="1" si="7"/>
        <v>#REF!</v>
      </c>
      <c r="C37" t="e">
        <f t="shared" ca="1" si="7"/>
        <v>#REF!</v>
      </c>
      <c r="D37" t="e">
        <f t="shared" ca="1" si="7"/>
        <v>#REF!</v>
      </c>
      <c r="E37" t="e">
        <f t="shared" ca="1" si="7"/>
        <v>#REF!</v>
      </c>
      <c r="F37" t="e">
        <f t="shared" ca="1" si="7"/>
        <v>#REF!</v>
      </c>
      <c r="G37" t="e">
        <f t="shared" ca="1" si="7"/>
        <v>#REF!</v>
      </c>
      <c r="H37" t="e">
        <f t="shared" ca="1" si="7"/>
        <v>#REF!</v>
      </c>
      <c r="I37" t="e">
        <f t="shared" ca="1" si="7"/>
        <v>#REF!</v>
      </c>
      <c r="J37" t="e">
        <f t="shared" ca="1" si="7"/>
        <v>#REF!</v>
      </c>
      <c r="K37" t="e">
        <f t="shared" ca="1" si="7"/>
        <v>#REF!</v>
      </c>
      <c r="L37" t="e">
        <f t="shared" ca="1" si="7"/>
        <v>#REF!</v>
      </c>
      <c r="M37" t="e">
        <f t="shared" ca="1" si="7"/>
        <v>#REF!</v>
      </c>
      <c r="N37" t="e">
        <f t="shared" ca="1" si="7"/>
        <v>#REF!</v>
      </c>
      <c r="O37" t="e">
        <f t="shared" ca="1" si="7"/>
        <v>#REF!</v>
      </c>
      <c r="P37" t="e">
        <f t="shared" ca="1" si="7"/>
        <v>#REF!</v>
      </c>
      <c r="Q37" t="e">
        <f t="shared" ca="1" si="7"/>
        <v>#REF!</v>
      </c>
      <c r="R37" t="e">
        <f t="shared" ref="R37" ca="1" si="9">R5-R21</f>
        <v>#REF!</v>
      </c>
    </row>
    <row r="38" spans="1:19" x14ac:dyDescent="0.25">
      <c r="A38" t="s">
        <v>6</v>
      </c>
      <c r="B38" t="e">
        <f t="shared" ca="1" si="7"/>
        <v>#REF!</v>
      </c>
      <c r="C38" t="e">
        <f t="shared" ca="1" si="7"/>
        <v>#REF!</v>
      </c>
      <c r="D38" t="e">
        <f t="shared" ca="1" si="7"/>
        <v>#REF!</v>
      </c>
      <c r="E38" t="e">
        <f t="shared" ca="1" si="7"/>
        <v>#REF!</v>
      </c>
      <c r="F38" t="e">
        <f t="shared" ca="1" si="7"/>
        <v>#REF!</v>
      </c>
      <c r="G38" t="e">
        <f t="shared" ca="1" si="7"/>
        <v>#REF!</v>
      </c>
      <c r="H38" t="e">
        <f t="shared" ca="1" si="7"/>
        <v>#REF!</v>
      </c>
      <c r="I38" t="e">
        <f t="shared" ca="1" si="7"/>
        <v>#REF!</v>
      </c>
      <c r="J38" t="e">
        <f t="shared" ca="1" si="7"/>
        <v>#REF!</v>
      </c>
      <c r="K38" t="e">
        <f t="shared" ca="1" si="7"/>
        <v>#REF!</v>
      </c>
      <c r="L38" t="e">
        <f t="shared" ca="1" si="7"/>
        <v>#REF!</v>
      </c>
      <c r="M38" t="e">
        <f t="shared" ca="1" si="7"/>
        <v>#REF!</v>
      </c>
      <c r="N38" t="e">
        <f t="shared" ca="1" si="7"/>
        <v>#REF!</v>
      </c>
      <c r="O38" t="e">
        <f t="shared" ca="1" si="7"/>
        <v>#REF!</v>
      </c>
      <c r="P38" t="e">
        <f t="shared" ca="1" si="7"/>
        <v>#REF!</v>
      </c>
      <c r="Q38" t="e">
        <f t="shared" ca="1" si="7"/>
        <v>#REF!</v>
      </c>
      <c r="R38" t="e">
        <f t="shared" ref="R38" ca="1" si="10">R6-R22</f>
        <v>#REF!</v>
      </c>
    </row>
    <row r="39" spans="1:19" x14ac:dyDescent="0.25">
      <c r="A39" t="s">
        <v>7</v>
      </c>
      <c r="B39" t="e">
        <f t="shared" ca="1" si="7"/>
        <v>#REF!</v>
      </c>
      <c r="C39" t="e">
        <f t="shared" ca="1" si="7"/>
        <v>#REF!</v>
      </c>
      <c r="D39" t="e">
        <f t="shared" ca="1" si="7"/>
        <v>#REF!</v>
      </c>
      <c r="E39" t="e">
        <f t="shared" ca="1" si="7"/>
        <v>#REF!</v>
      </c>
      <c r="F39" t="e">
        <f t="shared" ca="1" si="7"/>
        <v>#REF!</v>
      </c>
      <c r="G39" t="e">
        <f t="shared" ca="1" si="7"/>
        <v>#REF!</v>
      </c>
      <c r="H39" t="e">
        <f t="shared" ca="1" si="7"/>
        <v>#REF!</v>
      </c>
      <c r="I39" t="e">
        <f t="shared" ca="1" si="7"/>
        <v>#REF!</v>
      </c>
      <c r="J39" t="e">
        <f t="shared" ca="1" si="7"/>
        <v>#REF!</v>
      </c>
      <c r="K39" t="e">
        <f t="shared" ca="1" si="7"/>
        <v>#REF!</v>
      </c>
      <c r="L39" t="e">
        <f t="shared" ca="1" si="7"/>
        <v>#REF!</v>
      </c>
      <c r="M39" t="e">
        <f t="shared" ca="1" si="7"/>
        <v>#REF!</v>
      </c>
      <c r="N39" t="e">
        <f t="shared" ca="1" si="7"/>
        <v>#REF!</v>
      </c>
      <c r="O39" t="e">
        <f t="shared" ca="1" si="7"/>
        <v>#REF!</v>
      </c>
      <c r="P39" t="e">
        <f t="shared" ca="1" si="7"/>
        <v>#REF!</v>
      </c>
      <c r="Q39" t="e">
        <f t="shared" ca="1" si="7"/>
        <v>#REF!</v>
      </c>
      <c r="R39" t="e">
        <f t="shared" ref="R39" ca="1" si="11">R7-R23</f>
        <v>#REF!</v>
      </c>
    </row>
    <row r="40" spans="1:19" x14ac:dyDescent="0.25">
      <c r="A40" t="s">
        <v>8</v>
      </c>
      <c r="B40" t="e">
        <f t="shared" ca="1" si="7"/>
        <v>#REF!</v>
      </c>
      <c r="C40" t="e">
        <f t="shared" ca="1" si="7"/>
        <v>#REF!</v>
      </c>
      <c r="D40" t="e">
        <f t="shared" ca="1" si="7"/>
        <v>#REF!</v>
      </c>
      <c r="E40" t="e">
        <f t="shared" ca="1" si="7"/>
        <v>#REF!</v>
      </c>
      <c r="F40" t="e">
        <f t="shared" ca="1" si="7"/>
        <v>#REF!</v>
      </c>
      <c r="G40" t="e">
        <f t="shared" ca="1" si="7"/>
        <v>#REF!</v>
      </c>
      <c r="H40" t="e">
        <f t="shared" ca="1" si="7"/>
        <v>#REF!</v>
      </c>
      <c r="I40" t="e">
        <f t="shared" ca="1" si="7"/>
        <v>#REF!</v>
      </c>
      <c r="J40" t="e">
        <f t="shared" ca="1" si="7"/>
        <v>#REF!</v>
      </c>
      <c r="K40" t="e">
        <f t="shared" ca="1" si="7"/>
        <v>#REF!</v>
      </c>
      <c r="L40" t="e">
        <f t="shared" ca="1" si="7"/>
        <v>#REF!</v>
      </c>
      <c r="M40" t="e">
        <f t="shared" ca="1" si="7"/>
        <v>#REF!</v>
      </c>
      <c r="N40" t="e">
        <f t="shared" ca="1" si="7"/>
        <v>#REF!</v>
      </c>
      <c r="O40" t="e">
        <f t="shared" ca="1" si="7"/>
        <v>#REF!</v>
      </c>
      <c r="P40" t="e">
        <f t="shared" ca="1" si="7"/>
        <v>#REF!</v>
      </c>
      <c r="Q40" t="e">
        <f t="shared" ca="1" si="7"/>
        <v>#REF!</v>
      </c>
      <c r="R40" t="e">
        <f t="shared" ref="R40" ca="1" si="12">R8-R24</f>
        <v>#REF!</v>
      </c>
    </row>
    <row r="41" spans="1:19" x14ac:dyDescent="0.25">
      <c r="A41" t="s">
        <v>9</v>
      </c>
      <c r="B41" t="e">
        <f t="shared" ca="1" si="7"/>
        <v>#REF!</v>
      </c>
      <c r="C41" t="e">
        <f t="shared" ca="1" si="7"/>
        <v>#REF!</v>
      </c>
      <c r="D41" t="e">
        <f t="shared" ca="1" si="7"/>
        <v>#REF!</v>
      </c>
      <c r="E41" t="e">
        <f t="shared" ca="1" si="7"/>
        <v>#REF!</v>
      </c>
      <c r="F41" t="e">
        <f t="shared" ca="1" si="7"/>
        <v>#REF!</v>
      </c>
      <c r="G41" t="e">
        <f t="shared" ca="1" si="7"/>
        <v>#REF!</v>
      </c>
      <c r="H41" t="e">
        <f t="shared" ca="1" si="7"/>
        <v>#REF!</v>
      </c>
      <c r="I41" t="e">
        <f t="shared" ca="1" si="7"/>
        <v>#REF!</v>
      </c>
      <c r="J41" t="e">
        <f t="shared" ca="1" si="7"/>
        <v>#REF!</v>
      </c>
      <c r="K41" t="e">
        <f t="shared" ca="1" si="7"/>
        <v>#REF!</v>
      </c>
      <c r="L41" t="e">
        <f t="shared" ca="1" si="7"/>
        <v>#REF!</v>
      </c>
      <c r="M41" t="e">
        <f t="shared" ca="1" si="7"/>
        <v>#REF!</v>
      </c>
      <c r="N41" t="e">
        <f t="shared" ca="1" si="7"/>
        <v>#REF!</v>
      </c>
      <c r="O41" t="e">
        <f t="shared" ca="1" si="7"/>
        <v>#REF!</v>
      </c>
      <c r="P41" t="e">
        <f t="shared" ca="1" si="7"/>
        <v>#REF!</v>
      </c>
      <c r="Q41" t="e">
        <f t="shared" ca="1" si="7"/>
        <v>#REF!</v>
      </c>
      <c r="R41" t="e">
        <f t="shared" ref="R41" ca="1" si="13">R9-R25</f>
        <v>#REF!</v>
      </c>
    </row>
    <row r="42" spans="1:19" x14ac:dyDescent="0.25">
      <c r="A42" t="s">
        <v>10</v>
      </c>
      <c r="B42" t="e">
        <f t="shared" ca="1" si="7"/>
        <v>#REF!</v>
      </c>
      <c r="C42" t="e">
        <f t="shared" ca="1" si="7"/>
        <v>#REF!</v>
      </c>
      <c r="D42" t="e">
        <f t="shared" ca="1" si="7"/>
        <v>#REF!</v>
      </c>
      <c r="E42" t="e">
        <f t="shared" ca="1" si="7"/>
        <v>#REF!</v>
      </c>
      <c r="F42" t="e">
        <f t="shared" ca="1" si="7"/>
        <v>#REF!</v>
      </c>
      <c r="G42" t="e">
        <f t="shared" ca="1" si="7"/>
        <v>#REF!</v>
      </c>
      <c r="H42" t="e">
        <f t="shared" ca="1" si="7"/>
        <v>#REF!</v>
      </c>
      <c r="I42" t="e">
        <f t="shared" ca="1" si="7"/>
        <v>#REF!</v>
      </c>
      <c r="J42" t="e">
        <f t="shared" ca="1" si="7"/>
        <v>#REF!</v>
      </c>
      <c r="K42" t="e">
        <f t="shared" ca="1" si="7"/>
        <v>#REF!</v>
      </c>
      <c r="L42" t="e">
        <f t="shared" ca="1" si="7"/>
        <v>#REF!</v>
      </c>
      <c r="M42" t="e">
        <f t="shared" ca="1" si="7"/>
        <v>#REF!</v>
      </c>
      <c r="N42" t="e">
        <f t="shared" ca="1" si="7"/>
        <v>#REF!</v>
      </c>
      <c r="O42" t="e">
        <f t="shared" ca="1" si="7"/>
        <v>#REF!</v>
      </c>
      <c r="P42" t="e">
        <f t="shared" ca="1" si="7"/>
        <v>#REF!</v>
      </c>
      <c r="Q42" t="e">
        <f t="shared" ca="1" si="7"/>
        <v>#REF!</v>
      </c>
      <c r="R42" t="e">
        <f t="shared" ref="R42" ca="1" si="14">R10-R26</f>
        <v>#REF!</v>
      </c>
    </row>
    <row r="43" spans="1:19" x14ac:dyDescent="0.25">
      <c r="A43" t="s">
        <v>11</v>
      </c>
      <c r="B43" t="e">
        <f t="shared" ca="1" si="7"/>
        <v>#REF!</v>
      </c>
      <c r="C43" t="e">
        <f t="shared" ca="1" si="7"/>
        <v>#REF!</v>
      </c>
      <c r="D43" t="e">
        <f t="shared" ca="1" si="7"/>
        <v>#REF!</v>
      </c>
      <c r="E43" t="e">
        <f t="shared" ca="1" si="7"/>
        <v>#REF!</v>
      </c>
      <c r="F43" t="e">
        <f t="shared" ca="1" si="7"/>
        <v>#REF!</v>
      </c>
      <c r="G43" t="e">
        <f t="shared" ca="1" si="7"/>
        <v>#REF!</v>
      </c>
      <c r="H43" t="e">
        <f t="shared" ca="1" si="7"/>
        <v>#REF!</v>
      </c>
      <c r="I43" t="e">
        <f t="shared" ca="1" si="7"/>
        <v>#REF!</v>
      </c>
      <c r="J43" t="e">
        <f t="shared" ca="1" si="7"/>
        <v>#REF!</v>
      </c>
      <c r="K43" t="e">
        <f t="shared" ca="1" si="7"/>
        <v>#REF!</v>
      </c>
      <c r="L43" t="e">
        <f t="shared" ca="1" si="7"/>
        <v>#REF!</v>
      </c>
      <c r="M43" t="e">
        <f t="shared" ca="1" si="7"/>
        <v>#REF!</v>
      </c>
      <c r="N43" t="e">
        <f t="shared" ca="1" si="7"/>
        <v>#REF!</v>
      </c>
      <c r="O43" t="e">
        <f t="shared" ca="1" si="7"/>
        <v>#REF!</v>
      </c>
      <c r="P43" t="e">
        <f t="shared" ca="1" si="7"/>
        <v>#REF!</v>
      </c>
      <c r="Q43" t="e">
        <f t="shared" ca="1" si="7"/>
        <v>#REF!</v>
      </c>
      <c r="R43" t="e">
        <f t="shared" ref="R43" ca="1" si="15">R11-R27</f>
        <v>#REF!</v>
      </c>
    </row>
    <row r="44" spans="1:19" x14ac:dyDescent="0.25">
      <c r="A44" t="s">
        <v>12</v>
      </c>
      <c r="B44" t="e">
        <f t="shared" ca="1" si="7"/>
        <v>#REF!</v>
      </c>
      <c r="C44" t="e">
        <f t="shared" ca="1" si="7"/>
        <v>#REF!</v>
      </c>
      <c r="D44" t="e">
        <f t="shared" ca="1" si="7"/>
        <v>#REF!</v>
      </c>
      <c r="E44" t="e">
        <f t="shared" ca="1" si="7"/>
        <v>#REF!</v>
      </c>
      <c r="F44" t="e">
        <f t="shared" ca="1" si="7"/>
        <v>#REF!</v>
      </c>
      <c r="G44" t="e">
        <f t="shared" ca="1" si="7"/>
        <v>#REF!</v>
      </c>
      <c r="H44" t="e">
        <f t="shared" ca="1" si="7"/>
        <v>#REF!</v>
      </c>
      <c r="I44" t="e">
        <f t="shared" ca="1" si="7"/>
        <v>#REF!</v>
      </c>
      <c r="J44" t="e">
        <f t="shared" ca="1" si="7"/>
        <v>#REF!</v>
      </c>
      <c r="K44" t="e">
        <f t="shared" ca="1" si="7"/>
        <v>#REF!</v>
      </c>
      <c r="L44" t="e">
        <f t="shared" ca="1" si="7"/>
        <v>#REF!</v>
      </c>
      <c r="M44" t="e">
        <f t="shared" ca="1" si="7"/>
        <v>#REF!</v>
      </c>
      <c r="N44" t="e">
        <f t="shared" ca="1" si="7"/>
        <v>#REF!</v>
      </c>
      <c r="O44" t="e">
        <f t="shared" ca="1" si="7"/>
        <v>#REF!</v>
      </c>
      <c r="P44" t="e">
        <f t="shared" ca="1" si="7"/>
        <v>#REF!</v>
      </c>
      <c r="Q44" t="e">
        <f t="shared" ca="1" si="7"/>
        <v>#REF!</v>
      </c>
      <c r="R44" t="e">
        <f t="shared" ref="R44" ca="1" si="16">R12-R28</f>
        <v>#REF!</v>
      </c>
    </row>
    <row r="45" spans="1:19" x14ac:dyDescent="0.25">
      <c r="A45" t="s">
        <v>13</v>
      </c>
      <c r="B45" t="e">
        <f t="shared" ca="1" si="7"/>
        <v>#REF!</v>
      </c>
      <c r="C45" t="e">
        <f t="shared" ca="1" si="7"/>
        <v>#REF!</v>
      </c>
      <c r="D45" t="e">
        <f t="shared" ca="1" si="7"/>
        <v>#REF!</v>
      </c>
      <c r="E45" t="e">
        <f t="shared" ca="1" si="7"/>
        <v>#REF!</v>
      </c>
      <c r="F45" t="e">
        <f t="shared" ca="1" si="7"/>
        <v>#REF!</v>
      </c>
      <c r="G45" t="e">
        <f t="shared" ca="1" si="7"/>
        <v>#REF!</v>
      </c>
      <c r="H45" t="e">
        <f t="shared" ca="1" si="7"/>
        <v>#REF!</v>
      </c>
      <c r="I45" t="e">
        <f t="shared" ca="1" si="7"/>
        <v>#REF!</v>
      </c>
      <c r="J45" t="e">
        <f t="shared" ca="1" si="7"/>
        <v>#REF!</v>
      </c>
      <c r="K45" t="e">
        <f t="shared" ca="1" si="7"/>
        <v>#REF!</v>
      </c>
      <c r="L45" t="e">
        <f t="shared" ca="1" si="7"/>
        <v>#REF!</v>
      </c>
      <c r="M45" t="e">
        <f t="shared" ca="1" si="7"/>
        <v>#REF!</v>
      </c>
      <c r="N45" t="e">
        <f t="shared" ca="1" si="7"/>
        <v>#REF!</v>
      </c>
      <c r="O45" t="e">
        <f t="shared" ca="1" si="7"/>
        <v>#REF!</v>
      </c>
      <c r="P45" t="e">
        <f t="shared" ca="1" si="7"/>
        <v>#REF!</v>
      </c>
      <c r="Q45" t="e">
        <f t="shared" ca="1" si="7"/>
        <v>#REF!</v>
      </c>
      <c r="R45" t="e">
        <f t="shared" ref="R45" ca="1" si="17">R13-R29</f>
        <v>#REF!</v>
      </c>
    </row>
    <row r="46" spans="1:19" x14ac:dyDescent="0.25">
      <c r="A46" t="s">
        <v>14</v>
      </c>
      <c r="B46" t="e">
        <f t="shared" ca="1" si="7"/>
        <v>#REF!</v>
      </c>
      <c r="C46" t="e">
        <f t="shared" ca="1" si="7"/>
        <v>#REF!</v>
      </c>
      <c r="D46" t="e">
        <f t="shared" ca="1" si="7"/>
        <v>#REF!</v>
      </c>
      <c r="E46" t="e">
        <f t="shared" ca="1" si="7"/>
        <v>#REF!</v>
      </c>
      <c r="F46" t="e">
        <f t="shared" ca="1" si="7"/>
        <v>#REF!</v>
      </c>
      <c r="G46" t="e">
        <f t="shared" ca="1" si="7"/>
        <v>#REF!</v>
      </c>
      <c r="H46" t="e">
        <f t="shared" ca="1" si="7"/>
        <v>#REF!</v>
      </c>
      <c r="I46" t="e">
        <f t="shared" ca="1" si="7"/>
        <v>#REF!</v>
      </c>
      <c r="J46" t="e">
        <f t="shared" ca="1" si="7"/>
        <v>#REF!</v>
      </c>
      <c r="K46" t="e">
        <f t="shared" ca="1" si="7"/>
        <v>#REF!</v>
      </c>
      <c r="L46" t="e">
        <f t="shared" ca="1" si="7"/>
        <v>#REF!</v>
      </c>
      <c r="M46" t="e">
        <f t="shared" ca="1" si="7"/>
        <v>#REF!</v>
      </c>
      <c r="N46" t="e">
        <f t="shared" ca="1" si="7"/>
        <v>#REF!</v>
      </c>
      <c r="O46" t="e">
        <f t="shared" ca="1" si="7"/>
        <v>#REF!</v>
      </c>
      <c r="P46" t="e">
        <f t="shared" ca="1" si="7"/>
        <v>#REF!</v>
      </c>
      <c r="Q46" t="e">
        <f t="shared" ca="1" si="7"/>
        <v>#REF!</v>
      </c>
      <c r="R46" t="e">
        <f t="shared" ref="R46" ca="1" si="18">R14-R30</f>
        <v>#REF!</v>
      </c>
    </row>
    <row r="47" spans="1:19" x14ac:dyDescent="0.25">
      <c r="A47" t="s">
        <v>15</v>
      </c>
      <c r="B47" t="e">
        <f t="shared" ca="1" si="7"/>
        <v>#REF!</v>
      </c>
      <c r="C47" t="e">
        <f t="shared" ca="1" si="7"/>
        <v>#REF!</v>
      </c>
      <c r="D47" t="e">
        <f t="shared" ca="1" si="7"/>
        <v>#REF!</v>
      </c>
      <c r="E47" t="e">
        <f t="shared" ca="1" si="7"/>
        <v>#REF!</v>
      </c>
      <c r="F47" t="e">
        <f t="shared" ca="1" si="7"/>
        <v>#REF!</v>
      </c>
      <c r="G47" t="e">
        <f t="shared" ca="1" si="7"/>
        <v>#REF!</v>
      </c>
      <c r="H47" t="e">
        <f t="shared" ca="1" si="7"/>
        <v>#REF!</v>
      </c>
      <c r="I47" t="e">
        <f t="shared" ca="1" si="7"/>
        <v>#REF!</v>
      </c>
      <c r="J47" t="e">
        <f t="shared" ca="1" si="7"/>
        <v>#REF!</v>
      </c>
      <c r="K47" t="e">
        <f t="shared" ca="1" si="7"/>
        <v>#REF!</v>
      </c>
      <c r="L47" t="e">
        <f t="shared" ca="1" si="7"/>
        <v>#REF!</v>
      </c>
      <c r="M47" t="e">
        <f t="shared" ca="1" si="7"/>
        <v>#REF!</v>
      </c>
      <c r="N47" t="e">
        <f t="shared" ca="1" si="7"/>
        <v>#REF!</v>
      </c>
      <c r="O47" t="e">
        <f t="shared" ca="1" si="7"/>
        <v>#REF!</v>
      </c>
      <c r="P47" t="e">
        <f t="shared" ca="1" si="7"/>
        <v>#REF!</v>
      </c>
      <c r="Q47" t="e">
        <f t="shared" ca="1" si="7"/>
        <v>#REF!</v>
      </c>
      <c r="R47" t="e">
        <f t="shared" ref="R47" ca="1" si="19">R15-R31</f>
        <v>#REF!</v>
      </c>
    </row>
    <row r="48" spans="1:19" x14ac:dyDescent="0.25">
      <c r="A48" t="s">
        <v>16</v>
      </c>
      <c r="B48" t="e">
        <f t="shared" ca="1" si="7"/>
        <v>#REF!</v>
      </c>
      <c r="C48" t="e">
        <f t="shared" ca="1" si="7"/>
        <v>#REF!</v>
      </c>
      <c r="D48" t="e">
        <f t="shared" ca="1" si="7"/>
        <v>#REF!</v>
      </c>
      <c r="E48" t="e">
        <f t="shared" ca="1" si="7"/>
        <v>#REF!</v>
      </c>
      <c r="F48" t="e">
        <f t="shared" ca="1" si="7"/>
        <v>#REF!</v>
      </c>
      <c r="G48" t="e">
        <f t="shared" ca="1" si="7"/>
        <v>#REF!</v>
      </c>
      <c r="H48" t="e">
        <f t="shared" ca="1" si="7"/>
        <v>#REF!</v>
      </c>
      <c r="I48" t="e">
        <f t="shared" ca="1" si="7"/>
        <v>#REF!</v>
      </c>
      <c r="J48" t="e">
        <f t="shared" ca="1" si="7"/>
        <v>#REF!</v>
      </c>
      <c r="K48" t="e">
        <f t="shared" ca="1" si="7"/>
        <v>#REF!</v>
      </c>
      <c r="L48" t="e">
        <f t="shared" ca="1" si="7"/>
        <v>#REF!</v>
      </c>
      <c r="M48" t="e">
        <f t="shared" ca="1" si="7"/>
        <v>#REF!</v>
      </c>
      <c r="N48" t="e">
        <f t="shared" ca="1" si="7"/>
        <v>#REF!</v>
      </c>
      <c r="O48" t="e">
        <f t="shared" ca="1" si="7"/>
        <v>#REF!</v>
      </c>
      <c r="P48" t="e">
        <f t="shared" ca="1" si="7"/>
        <v>#REF!</v>
      </c>
      <c r="Q48" t="e">
        <f t="shared" ca="1" si="7"/>
        <v>#REF!</v>
      </c>
      <c r="R48" t="e">
        <f t="shared" ref="R48" ca="1" si="20">R16-R32</f>
        <v>#REF!</v>
      </c>
    </row>
    <row r="49" spans="1:18" s="7" customFormat="1" x14ac:dyDescent="0.25">
      <c r="A49" s="10" t="s">
        <v>23</v>
      </c>
      <c r="B49" s="7" t="e">
        <f ca="1">SUM(B35:B48)</f>
        <v>#REF!</v>
      </c>
      <c r="C49" s="7" t="e">
        <f t="shared" ref="C49:P49" ca="1" si="21">SUM(C35:C48)</f>
        <v>#REF!</v>
      </c>
      <c r="D49" s="7" t="e">
        <f t="shared" ca="1" si="21"/>
        <v>#REF!</v>
      </c>
      <c r="E49" s="7" t="e">
        <f t="shared" ca="1" si="21"/>
        <v>#REF!</v>
      </c>
      <c r="F49" s="7" t="e">
        <f t="shared" ca="1" si="21"/>
        <v>#REF!</v>
      </c>
      <c r="G49" s="7" t="e">
        <f t="shared" ca="1" si="21"/>
        <v>#REF!</v>
      </c>
      <c r="H49" s="7" t="e">
        <f t="shared" ca="1" si="21"/>
        <v>#REF!</v>
      </c>
      <c r="I49" s="7" t="e">
        <f t="shared" ca="1" si="21"/>
        <v>#REF!</v>
      </c>
      <c r="J49" s="7" t="e">
        <f t="shared" ca="1" si="21"/>
        <v>#REF!</v>
      </c>
      <c r="K49" s="7" t="e">
        <f t="shared" ca="1" si="21"/>
        <v>#REF!</v>
      </c>
      <c r="L49" s="7" t="e">
        <f t="shared" ca="1" si="21"/>
        <v>#REF!</v>
      </c>
      <c r="M49" s="7" t="e">
        <f t="shared" ca="1" si="21"/>
        <v>#REF!</v>
      </c>
      <c r="N49" s="7" t="e">
        <f t="shared" ca="1" si="21"/>
        <v>#REF!</v>
      </c>
      <c r="O49" s="7" t="e">
        <f t="shared" ca="1" si="21"/>
        <v>#REF!</v>
      </c>
      <c r="P49" s="7" t="e">
        <f t="shared" ca="1" si="21"/>
        <v>#REF!</v>
      </c>
      <c r="Q49" s="7" t="e">
        <f t="shared" ref="Q49:R49" ca="1" si="22">SUM(Q35:Q48)</f>
        <v>#REF!</v>
      </c>
      <c r="R49" s="7" t="e">
        <f t="shared" ca="1" si="22"/>
        <v>#REF!</v>
      </c>
    </row>
  </sheetData>
  <conditionalFormatting sqref="B35:R49">
    <cfRule type="cellIs" dxfId="3" priority="1" operator="lessThan">
      <formula>0</formula>
    </cfRule>
    <cfRule type="cellIs" dxfId="2" priority="2" operator="greaterThan">
      <formula>0</formula>
    </cfRule>
  </conditionalFormatting>
  <conditionalFormatting sqref="A49 A33:R33">
    <cfRule type="expression" dxfId="1" priority="126">
      <formula>$S$33&lt;&gt;(COUNTA(#REF!)-COUNT(#REF!))</formula>
    </cfRule>
  </conditionalFormatting>
  <conditionalFormatting sqref="A17:R17">
    <cfRule type="expression" dxfId="0" priority="127">
      <formula>$S$17&lt;&gt;(COUNTA(#REF!)-COUNT(#REF!))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7FC54-80DC-431C-AFD0-FC7E173280D1}">
  <dimension ref="A1"/>
  <sheetViews>
    <sheetView workbookViewId="0"/>
  </sheetViews>
  <sheetFormatPr defaultRowHeight="15" x14ac:dyDescent="0.25"/>
  <cols>
    <col min="1" max="1" width="19" customWidth="1"/>
  </cols>
  <sheetData>
    <row r="1" spans="1:1" x14ac:dyDescent="0.25">
      <c r="A1" t="e" cm="1" vm="1">
        <f t="array" aca="1" ref="A1" ca="1">_xlfn._xlws.PY(0,1,'Amion Export'!A:H)</f>
        <v>#VALUE!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E7DA-8761-492D-A316-F2C7F47B1AD3}">
  <sheetPr codeName="Sheet2"/>
  <dimension ref="A1:H1"/>
  <sheetViews>
    <sheetView tabSelected="1" workbookViewId="0"/>
  </sheetViews>
  <sheetFormatPr defaultRowHeight="15" x14ac:dyDescent="0.25"/>
  <sheetData>
    <row r="1" spans="1:8" x14ac:dyDescent="0.25">
      <c r="A1" t="s">
        <v>37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19"/>
  <sheetViews>
    <sheetView workbookViewId="0">
      <selection activeCell="I2" sqref="I2"/>
    </sheetView>
  </sheetViews>
  <sheetFormatPr defaultRowHeight="15" x14ac:dyDescent="0.25"/>
  <cols>
    <col min="3" max="3" width="15.28515625" customWidth="1"/>
    <col min="6" max="6" width="12.7109375" bestFit="1" customWidth="1"/>
    <col min="9" max="9" width="18.140625" bestFit="1" customWidth="1"/>
  </cols>
  <sheetData>
    <row r="1" spans="1:9" x14ac:dyDescent="0.25">
      <c r="A1" s="7" t="s">
        <v>17</v>
      </c>
      <c r="C1" s="7" t="s">
        <v>18</v>
      </c>
    </row>
    <row r="2" spans="1:9" x14ac:dyDescent="0.25">
      <c r="A2" s="2" t="e" cm="1">
        <f t="array" ref="A2">_xlfn._xlws.SORT(_xlfn._xlws.FILTER(ChkDr,NOT(ISNUMBER(ChkDr))))</f>
        <v>#REF!</v>
      </c>
      <c r="C2" s="22">
        <f ca="1">IF(WEEKDAY(DATE((YEAR(CurrDate)),1,1),2)&lt;6,DATE((YEAR(CurrDate)),1,1),DATE((YEAR(CurrDate)),1,CHOOSE((WEEKDAY(DATE((YEAR(CurrDate)),1,1),2)-5),3,2)))</f>
        <v>44928</v>
      </c>
      <c r="F2" s="22">
        <f ca="1">TODAY()</f>
        <v>45291</v>
      </c>
    </row>
    <row r="3" spans="1:9" x14ac:dyDescent="0.25">
      <c r="A3" s="2"/>
      <c r="C3" s="23" cm="1">
        <f t="array" aca="1" ref="C3" ca="1">DATE(StatYear,2,CHOOSE(WEEKDAY(DATE(StatYear,2,1)),16,15,21,20,19,18,17))</f>
        <v>45341</v>
      </c>
    </row>
    <row r="4" spans="1:9" x14ac:dyDescent="0.25">
      <c r="A4" s="2"/>
      <c r="C4" s="1" cm="1">
        <f t="array" aca="1" ref="C4" ca="1">Easter(StatYear)-2</f>
        <v>45380</v>
      </c>
      <c r="I4" s="22"/>
    </row>
    <row r="5" spans="1:9" x14ac:dyDescent="0.25">
      <c r="A5" s="2"/>
      <c r="C5" s="1" cm="1">
        <f t="array" aca="1" ref="C5" ca="1">Easter(StatYear)</f>
        <v>45382</v>
      </c>
    </row>
    <row r="6" spans="1:9" x14ac:dyDescent="0.25">
      <c r="A6" s="2"/>
      <c r="C6" s="1" cm="1">
        <f t="array" aca="1" ref="C6" ca="1">Easter(StatYear)+1</f>
        <v>45383</v>
      </c>
    </row>
    <row r="7" spans="1:9" x14ac:dyDescent="0.25">
      <c r="A7" s="2"/>
      <c r="C7" s="1" cm="1">
        <f t="array" aca="1" ref="C7" ca="1">DATE(StatYear,5,CHOOSE(WEEKDAY(DATE(StatYear,5,25)),19,18,24,23,22,21,20))</f>
        <v>45432</v>
      </c>
    </row>
    <row r="8" spans="1:9" x14ac:dyDescent="0.25">
      <c r="A8" s="2"/>
      <c r="C8" s="1">
        <f ca="1">IF(WEEKDAY(DATE((YEAR(CurrDate)),7,1),2)&lt;6,DATE((YEAR(CurrDate)),7,1),DATE((YEAR(CurrDate)),7,CHOOSE((WEEKDAY(DATE((YEAR(CurrDate)),7,1),2)-5),3,2)))</f>
        <v>45110</v>
      </c>
    </row>
    <row r="9" spans="1:9" x14ac:dyDescent="0.25">
      <c r="A9" s="2"/>
      <c r="C9" s="1">
        <f ca="1">DATE(YEAR($F$2),8,CHOOSE(WEEKDAY(DATE(YEAR($F$2),8,1)),2,1,7,6,5,4,3))</f>
        <v>45145</v>
      </c>
    </row>
    <row r="10" spans="1:9" x14ac:dyDescent="0.25">
      <c r="A10" s="2"/>
      <c r="C10" s="1">
        <f ca="1">DATE(YEAR($F$2),9,CHOOSE(WEEKDAY(DATE(YEAR($F$2),9,1)),2,1,7,6,5,4,3))</f>
        <v>45173</v>
      </c>
    </row>
    <row r="11" spans="1:9" x14ac:dyDescent="0.25">
      <c r="A11" s="2"/>
      <c r="C11" s="1">
        <f ca="1">DATE(YEAR($F$2),10,CHOOSE(WEEKDAY(DATE(YEAR($F$2),10,1)),9,8,14,13,12,11,10))</f>
        <v>45208</v>
      </c>
    </row>
    <row r="12" spans="1:9" x14ac:dyDescent="0.25">
      <c r="C12" s="1">
        <f ca="1">IF(WEEKDAY(DATE((YEAR(CurrDate)),11,11),2)&lt;6,DATE((YEAR(CurrDate)),11,11),DATE((YEAR(CurrDate)),11,CHOOSE((WEEKDAY(DATE((YEAR(CurrDate)),11,11),2)-5),13,12)))</f>
        <v>45243</v>
      </c>
    </row>
    <row r="13" spans="1:9" x14ac:dyDescent="0.25">
      <c r="A13" s="2"/>
      <c r="C13" s="1">
        <f ca="1">DATE(YEAR($F$2),12,25)</f>
        <v>45285</v>
      </c>
    </row>
    <row r="14" spans="1:9" x14ac:dyDescent="0.25">
      <c r="C14" s="1">
        <f ca="1">DATE(YEAR($F$2),12,26)</f>
        <v>45286</v>
      </c>
    </row>
    <row r="15" spans="1:9" x14ac:dyDescent="0.25">
      <c r="A15" s="2"/>
      <c r="C15" s="1"/>
      <c r="E15" s="2"/>
    </row>
    <row r="16" spans="1:9" x14ac:dyDescent="0.25">
      <c r="C16" s="1"/>
      <c r="E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</sheetData>
  <sortState xmlns:xlrd2="http://schemas.microsoft.com/office/spreadsheetml/2017/richdata2" ref="A2:A18">
    <sortCondition ref="A2:A18"/>
  </sortState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Q109"/>
  <sheetViews>
    <sheetView topLeftCell="A70" workbookViewId="0"/>
  </sheetViews>
  <sheetFormatPr defaultRowHeight="15" x14ac:dyDescent="0.25"/>
  <sheetData>
    <row r="1" spans="1:17" x14ac:dyDescent="0.25">
      <c r="A1" s="11">
        <f t="array" ref="A1:G1">DaysandWeeks+DATE(CalendarYear,MonthStart,1)-WEEKDAY(DATE(CalendarYear,MonthStart,1),1)+I1</f>
        <v>44346</v>
      </c>
      <c r="B1" s="11">
        <v>44347</v>
      </c>
      <c r="C1" s="11">
        <v>44348</v>
      </c>
      <c r="D1" s="11">
        <v>44349</v>
      </c>
      <c r="E1" s="11">
        <v>44350</v>
      </c>
      <c r="F1" s="11">
        <v>44351</v>
      </c>
      <c r="G1" s="11">
        <v>44352</v>
      </c>
      <c r="I1">
        <v>1</v>
      </c>
      <c r="K1" t="b">
        <f t="shared" ref="K1" ca="1" si="0">IFERROR(MATCH(A1,Holidays,0),FALSE)</f>
        <v>0</v>
      </c>
      <c r="L1" t="b">
        <f t="shared" ref="L1" ca="1" si="1">IFERROR(MATCH(B1,Holidays,0),FALSE)</f>
        <v>0</v>
      </c>
      <c r="M1" t="b">
        <f t="shared" ref="M1" ca="1" si="2">IFERROR(MATCH(C1,Holidays,0),FALSE)</f>
        <v>0</v>
      </c>
      <c r="N1" t="b">
        <f t="shared" ref="N1" ca="1" si="3">IFERROR(MATCH(D1,Holidays,0),FALSE)</f>
        <v>0</v>
      </c>
      <c r="O1" t="b">
        <f t="shared" ref="O1" ca="1" si="4">IFERROR(MATCH(E1,Holidays,0),FALSE)</f>
        <v>0</v>
      </c>
      <c r="P1" t="b">
        <f t="shared" ref="P1" ca="1" si="5">IFERROR(MATCH(F1,Holidays,0),FALSE)</f>
        <v>0</v>
      </c>
      <c r="Q1" t="b">
        <f t="shared" ref="Q1" ca="1" si="6">IFERROR(MATCH(G1,Holidays,0),FALSE)</f>
        <v>0</v>
      </c>
    </row>
    <row r="2" spans="1:17" x14ac:dyDescent="0.25">
      <c r="A2" s="11">
        <f t="array" ref="A2:G2">DaysandWeeks+DATE(CalendarYear,MonthStart,1)-WEEKDAY(DATE(CalendarYear,MonthStart,1),1)+I2</f>
        <v>44346</v>
      </c>
      <c r="B2" s="11">
        <v>44347</v>
      </c>
      <c r="C2" s="11">
        <v>44348</v>
      </c>
      <c r="D2" s="11">
        <v>44349</v>
      </c>
      <c r="E2" s="11">
        <v>44350</v>
      </c>
      <c r="F2" s="11">
        <v>44351</v>
      </c>
      <c r="G2" s="11">
        <v>44352</v>
      </c>
      <c r="I2">
        <v>1</v>
      </c>
      <c r="K2" t="b">
        <f t="shared" ref="K2" ca="1" si="7">IFERROR(MATCH(A2,Holidays,0),FALSE)</f>
        <v>0</v>
      </c>
      <c r="L2" t="b">
        <f t="shared" ref="L2" ca="1" si="8">IFERROR(MATCH(B2,Holidays,0),FALSE)</f>
        <v>0</v>
      </c>
      <c r="M2" t="b">
        <f t="shared" ref="M2" ca="1" si="9">IFERROR(MATCH(C2,Holidays,0),FALSE)</f>
        <v>0</v>
      </c>
      <c r="N2" t="b">
        <f t="shared" ref="N2" ca="1" si="10">IFERROR(MATCH(D2,Holidays,0),FALSE)</f>
        <v>0</v>
      </c>
      <c r="O2" t="b">
        <f t="shared" ref="O2" ca="1" si="11">IFERROR(MATCH(E2,Holidays,0),FALSE)</f>
        <v>0</v>
      </c>
      <c r="P2" t="b">
        <f t="shared" ref="P2" ca="1" si="12">IFERROR(MATCH(F2,Holidays,0),FALSE)</f>
        <v>0</v>
      </c>
      <c r="Q2" t="b">
        <f t="shared" ref="Q2" ca="1" si="13">IFERROR(MATCH(G2,Holidays,0),FALSE)</f>
        <v>0</v>
      </c>
    </row>
    <row r="3" spans="1:17" x14ac:dyDescent="0.25">
      <c r="A3" s="11">
        <f t="array" ref="A3:G3">DaysandWeeks+DATE(CalendarYear,MonthStart,1)-WEEKDAY(DATE(CalendarYear,MonthStart,1),1)+I3</f>
        <v>44346</v>
      </c>
      <c r="B3" s="11">
        <v>44347</v>
      </c>
      <c r="C3" s="11">
        <v>44348</v>
      </c>
      <c r="D3" s="11">
        <v>44349</v>
      </c>
      <c r="E3" s="11">
        <v>44350</v>
      </c>
      <c r="F3" s="11">
        <v>44351</v>
      </c>
      <c r="G3" s="11">
        <v>44352</v>
      </c>
      <c r="I3">
        <v>1</v>
      </c>
      <c r="K3" t="b">
        <f t="shared" ref="K3" ca="1" si="14">IFERROR(MATCH(A3,Holidays,0),FALSE)</f>
        <v>0</v>
      </c>
      <c r="L3" t="b">
        <f t="shared" ref="L3" ca="1" si="15">IFERROR(MATCH(B3,Holidays,0),FALSE)</f>
        <v>0</v>
      </c>
      <c r="M3" t="b">
        <f t="shared" ref="M3" ca="1" si="16">IFERROR(MATCH(C3,Holidays,0),FALSE)</f>
        <v>0</v>
      </c>
      <c r="N3" t="b">
        <f t="shared" ref="N3" ca="1" si="17">IFERROR(MATCH(D3,Holidays,0),FALSE)</f>
        <v>0</v>
      </c>
      <c r="O3" t="b">
        <f t="shared" ref="O3" ca="1" si="18">IFERROR(MATCH(E3,Holidays,0),FALSE)</f>
        <v>0</v>
      </c>
      <c r="P3" t="b">
        <f t="shared" ref="P3" ca="1" si="19">IFERROR(MATCH(F3,Holidays,0),FALSE)</f>
        <v>0</v>
      </c>
      <c r="Q3" t="b">
        <f t="shared" ref="Q3" ca="1" si="20">IFERROR(MATCH(G3,Holidays,0),FALSE)</f>
        <v>0</v>
      </c>
    </row>
    <row r="4" spans="1:17" x14ac:dyDescent="0.25">
      <c r="A4" s="11">
        <f t="array" ref="A4:G4">DaysandWeeks+DATE(CalendarYear,MonthStart,1)-WEEKDAY(DATE(CalendarYear,MonthStart,1),1)+I4</f>
        <v>44346</v>
      </c>
      <c r="B4" s="11">
        <v>44347</v>
      </c>
      <c r="C4" s="11">
        <v>44348</v>
      </c>
      <c r="D4" s="11">
        <v>44349</v>
      </c>
      <c r="E4" s="11">
        <v>44350</v>
      </c>
      <c r="F4" s="11">
        <v>44351</v>
      </c>
      <c r="G4" s="11">
        <v>44352</v>
      </c>
      <c r="I4">
        <v>1</v>
      </c>
      <c r="K4" t="b">
        <f t="shared" ref="K4" ca="1" si="21">IFERROR(MATCH(A4,Holidays,0),FALSE)</f>
        <v>0</v>
      </c>
      <c r="L4" t="b">
        <f t="shared" ref="L4" ca="1" si="22">IFERROR(MATCH(B4,Holidays,0),FALSE)</f>
        <v>0</v>
      </c>
      <c r="M4" t="b">
        <f t="shared" ref="M4" ca="1" si="23">IFERROR(MATCH(C4,Holidays,0),FALSE)</f>
        <v>0</v>
      </c>
      <c r="N4" t="b">
        <f t="shared" ref="N4" ca="1" si="24">IFERROR(MATCH(D4,Holidays,0),FALSE)</f>
        <v>0</v>
      </c>
      <c r="O4" t="b">
        <f t="shared" ref="O4" ca="1" si="25">IFERROR(MATCH(E4,Holidays,0),FALSE)</f>
        <v>0</v>
      </c>
      <c r="P4" t="b">
        <f t="shared" ref="P4" ca="1" si="26">IFERROR(MATCH(F4,Holidays,0),FALSE)</f>
        <v>0</v>
      </c>
      <c r="Q4" t="b">
        <f t="shared" ref="Q4" ca="1" si="27">IFERROR(MATCH(G4,Holidays,0),FALSE)</f>
        <v>0</v>
      </c>
    </row>
    <row r="5" spans="1:17" x14ac:dyDescent="0.25">
      <c r="A5" s="11">
        <f t="array" ref="A5:G5">DaysandWeeks+DATE(CalendarYear,MonthStart,1)-WEEKDAY(DATE(CalendarYear,MonthStart,1),1)+I5</f>
        <v>44346</v>
      </c>
      <c r="B5" s="11">
        <v>44347</v>
      </c>
      <c r="C5" s="11">
        <v>44348</v>
      </c>
      <c r="D5" s="11">
        <v>44349</v>
      </c>
      <c r="E5" s="11">
        <v>44350</v>
      </c>
      <c r="F5" s="11">
        <v>44351</v>
      </c>
      <c r="G5" s="11">
        <v>44352</v>
      </c>
      <c r="I5">
        <v>1</v>
      </c>
      <c r="K5" t="b">
        <f t="shared" ref="K5" ca="1" si="28">IFERROR(MATCH(A5,Holidays,0),FALSE)</f>
        <v>0</v>
      </c>
      <c r="L5" t="b">
        <f t="shared" ref="L5" ca="1" si="29">IFERROR(MATCH(B5,Holidays,0),FALSE)</f>
        <v>0</v>
      </c>
      <c r="M5" t="b">
        <f t="shared" ref="M5" ca="1" si="30">IFERROR(MATCH(C5,Holidays,0),FALSE)</f>
        <v>0</v>
      </c>
      <c r="N5" t="b">
        <f t="shared" ref="N5" ca="1" si="31">IFERROR(MATCH(D5,Holidays,0),FALSE)</f>
        <v>0</v>
      </c>
      <c r="O5" t="b">
        <f t="shared" ref="O5" ca="1" si="32">IFERROR(MATCH(E5,Holidays,0),FALSE)</f>
        <v>0</v>
      </c>
      <c r="P5" t="b">
        <f t="shared" ref="P5" ca="1" si="33">IFERROR(MATCH(F5,Holidays,0),FALSE)</f>
        <v>0</v>
      </c>
      <c r="Q5" t="b">
        <f t="shared" ref="Q5" ca="1" si="34">IFERROR(MATCH(G5,Holidays,0),FALSE)</f>
        <v>0</v>
      </c>
    </row>
    <row r="6" spans="1:17" x14ac:dyDescent="0.25">
      <c r="A6" s="11">
        <f t="array" ref="A6:G6">DaysandWeeks+DATE(CalendarYear,MonthStart,1)-WEEKDAY(DATE(CalendarYear,MonthStart,1),1)+I6</f>
        <v>44353</v>
      </c>
      <c r="B6" s="11">
        <v>44354</v>
      </c>
      <c r="C6" s="11">
        <v>44355</v>
      </c>
      <c r="D6" s="11">
        <v>44356</v>
      </c>
      <c r="E6" s="11">
        <v>44357</v>
      </c>
      <c r="F6" s="11">
        <v>44358</v>
      </c>
      <c r="G6" s="11">
        <v>44359</v>
      </c>
      <c r="I6">
        <f>I1+7</f>
        <v>8</v>
      </c>
      <c r="K6" t="b">
        <f t="shared" ref="K6" ca="1" si="35">IFERROR(MATCH(A6,Holidays,0),FALSE)</f>
        <v>0</v>
      </c>
      <c r="L6" t="b">
        <f t="shared" ref="L6" ca="1" si="36">IFERROR(MATCH(B6,Holidays,0),FALSE)</f>
        <v>0</v>
      </c>
      <c r="M6" t="b">
        <f t="shared" ref="M6" ca="1" si="37">IFERROR(MATCH(C6,Holidays,0),FALSE)</f>
        <v>0</v>
      </c>
      <c r="N6" t="b">
        <f t="shared" ref="N6" ca="1" si="38">IFERROR(MATCH(D6,Holidays,0),FALSE)</f>
        <v>0</v>
      </c>
      <c r="O6" t="b">
        <f t="shared" ref="O6" ca="1" si="39">IFERROR(MATCH(E6,Holidays,0),FALSE)</f>
        <v>0</v>
      </c>
      <c r="P6" t="b">
        <f t="shared" ref="P6" ca="1" si="40">IFERROR(MATCH(F6,Holidays,0),FALSE)</f>
        <v>0</v>
      </c>
      <c r="Q6" t="b">
        <f t="shared" ref="Q6" ca="1" si="41">IFERROR(MATCH(G6,Holidays,0),FALSE)</f>
        <v>0</v>
      </c>
    </row>
    <row r="7" spans="1:17" x14ac:dyDescent="0.25">
      <c r="A7" s="11">
        <f t="array" ref="A7:G7">DaysandWeeks+DATE(CalendarYear,MonthStart,1)-WEEKDAY(DATE(CalendarYear,MonthStart,1),1)+I7</f>
        <v>44353</v>
      </c>
      <c r="B7" s="11">
        <v>44354</v>
      </c>
      <c r="C7" s="11">
        <v>44355</v>
      </c>
      <c r="D7" s="11">
        <v>44356</v>
      </c>
      <c r="E7" s="11">
        <v>44357</v>
      </c>
      <c r="F7" s="11">
        <v>44358</v>
      </c>
      <c r="G7" s="11">
        <v>44359</v>
      </c>
      <c r="I7">
        <f t="shared" ref="I7:I10" si="42">I2+7</f>
        <v>8</v>
      </c>
      <c r="K7" t="b">
        <f t="shared" ref="K7" ca="1" si="43">IFERROR(MATCH(A7,Holidays,0),FALSE)</f>
        <v>0</v>
      </c>
      <c r="L7" t="b">
        <f t="shared" ref="L7" ca="1" si="44">IFERROR(MATCH(B7,Holidays,0),FALSE)</f>
        <v>0</v>
      </c>
      <c r="M7" t="b">
        <f t="shared" ref="M7" ca="1" si="45">IFERROR(MATCH(C7,Holidays,0),FALSE)</f>
        <v>0</v>
      </c>
      <c r="N7" t="b">
        <f t="shared" ref="N7" ca="1" si="46">IFERROR(MATCH(D7,Holidays,0),FALSE)</f>
        <v>0</v>
      </c>
      <c r="O7" t="b">
        <f t="shared" ref="O7" ca="1" si="47">IFERROR(MATCH(E7,Holidays,0),FALSE)</f>
        <v>0</v>
      </c>
      <c r="P7" t="b">
        <f t="shared" ref="P7" ca="1" si="48">IFERROR(MATCH(F7,Holidays,0),FALSE)</f>
        <v>0</v>
      </c>
      <c r="Q7" t="b">
        <f t="shared" ref="Q7" ca="1" si="49">IFERROR(MATCH(G7,Holidays,0),FALSE)</f>
        <v>0</v>
      </c>
    </row>
    <row r="8" spans="1:17" x14ac:dyDescent="0.25">
      <c r="A8" s="11">
        <f t="array" ref="A8:G8">DaysandWeeks+DATE(CalendarYear,MonthStart,1)-WEEKDAY(DATE(CalendarYear,MonthStart,1),1)+I8</f>
        <v>44353</v>
      </c>
      <c r="B8" s="11">
        <v>44354</v>
      </c>
      <c r="C8" s="11">
        <v>44355</v>
      </c>
      <c r="D8" s="11">
        <v>44356</v>
      </c>
      <c r="E8" s="11">
        <v>44357</v>
      </c>
      <c r="F8" s="11">
        <v>44358</v>
      </c>
      <c r="G8" s="11">
        <v>44359</v>
      </c>
      <c r="I8">
        <f t="shared" si="42"/>
        <v>8</v>
      </c>
      <c r="K8" t="b">
        <f t="shared" ref="K8" ca="1" si="50">IFERROR(MATCH(A8,Holidays,0),FALSE)</f>
        <v>0</v>
      </c>
      <c r="L8" t="b">
        <f t="shared" ref="L8" ca="1" si="51">IFERROR(MATCH(B8,Holidays,0),FALSE)</f>
        <v>0</v>
      </c>
      <c r="M8" t="b">
        <f t="shared" ref="M8" ca="1" si="52">IFERROR(MATCH(C8,Holidays,0),FALSE)</f>
        <v>0</v>
      </c>
      <c r="N8" t="b">
        <f t="shared" ref="N8" ca="1" si="53">IFERROR(MATCH(D8,Holidays,0),FALSE)</f>
        <v>0</v>
      </c>
      <c r="O8" t="b">
        <f t="shared" ref="O8" ca="1" si="54">IFERROR(MATCH(E8,Holidays,0),FALSE)</f>
        <v>0</v>
      </c>
      <c r="P8" t="b">
        <f t="shared" ref="P8" ca="1" si="55">IFERROR(MATCH(F8,Holidays,0),FALSE)</f>
        <v>0</v>
      </c>
      <c r="Q8" t="b">
        <f t="shared" ref="Q8" ca="1" si="56">IFERROR(MATCH(G8,Holidays,0),FALSE)</f>
        <v>0</v>
      </c>
    </row>
    <row r="9" spans="1:17" x14ac:dyDescent="0.25">
      <c r="A9" s="11">
        <f t="array" ref="A9:G9">DaysandWeeks+DATE(CalendarYear,MonthStart,1)-WEEKDAY(DATE(CalendarYear,MonthStart,1),1)+I9</f>
        <v>44353</v>
      </c>
      <c r="B9" s="11">
        <v>44354</v>
      </c>
      <c r="C9" s="11">
        <v>44355</v>
      </c>
      <c r="D9" s="11">
        <v>44356</v>
      </c>
      <c r="E9" s="11">
        <v>44357</v>
      </c>
      <c r="F9" s="11">
        <v>44358</v>
      </c>
      <c r="G9" s="11">
        <v>44359</v>
      </c>
      <c r="I9">
        <f t="shared" si="42"/>
        <v>8</v>
      </c>
      <c r="K9" t="b">
        <f t="shared" ref="K9" ca="1" si="57">IFERROR(MATCH(A9,Holidays,0),FALSE)</f>
        <v>0</v>
      </c>
      <c r="L9" t="b">
        <f t="shared" ref="L9" ca="1" si="58">IFERROR(MATCH(B9,Holidays,0),FALSE)</f>
        <v>0</v>
      </c>
      <c r="M9" t="b">
        <f t="shared" ref="M9" ca="1" si="59">IFERROR(MATCH(C9,Holidays,0),FALSE)</f>
        <v>0</v>
      </c>
      <c r="N9" t="b">
        <f t="shared" ref="N9" ca="1" si="60">IFERROR(MATCH(D9,Holidays,0),FALSE)</f>
        <v>0</v>
      </c>
      <c r="O9" t="b">
        <f t="shared" ref="O9" ca="1" si="61">IFERROR(MATCH(E9,Holidays,0),FALSE)</f>
        <v>0</v>
      </c>
      <c r="P9" t="b">
        <f t="shared" ref="P9" ca="1" si="62">IFERROR(MATCH(F9,Holidays,0),FALSE)</f>
        <v>0</v>
      </c>
      <c r="Q9" t="b">
        <f t="shared" ref="Q9" ca="1" si="63">IFERROR(MATCH(G9,Holidays,0),FALSE)</f>
        <v>0</v>
      </c>
    </row>
    <row r="10" spans="1:17" x14ac:dyDescent="0.25">
      <c r="A10" s="11">
        <f t="array" ref="A10:G10">DaysandWeeks+DATE(CalendarYear,MonthStart,1)-WEEKDAY(DATE(CalendarYear,MonthStart,1),1)+I10</f>
        <v>44353</v>
      </c>
      <c r="B10" s="11">
        <v>44354</v>
      </c>
      <c r="C10" s="11">
        <v>44355</v>
      </c>
      <c r="D10" s="11">
        <v>44356</v>
      </c>
      <c r="E10" s="11">
        <v>44357</v>
      </c>
      <c r="F10" s="11">
        <v>44358</v>
      </c>
      <c r="G10" s="11">
        <v>44359</v>
      </c>
      <c r="I10">
        <f t="shared" si="42"/>
        <v>8</v>
      </c>
      <c r="K10" t="b">
        <f t="shared" ref="K10" ca="1" si="64">IFERROR(MATCH(A10,Holidays,0),FALSE)</f>
        <v>0</v>
      </c>
      <c r="L10" t="b">
        <f t="shared" ref="L10" ca="1" si="65">IFERROR(MATCH(B10,Holidays,0),FALSE)</f>
        <v>0</v>
      </c>
      <c r="M10" t="b">
        <f t="shared" ref="M10" ca="1" si="66">IFERROR(MATCH(C10,Holidays,0),FALSE)</f>
        <v>0</v>
      </c>
      <c r="N10" t="b">
        <f t="shared" ref="N10" ca="1" si="67">IFERROR(MATCH(D10,Holidays,0),FALSE)</f>
        <v>0</v>
      </c>
      <c r="O10" t="b">
        <f t="shared" ref="O10" ca="1" si="68">IFERROR(MATCH(E10,Holidays,0),FALSE)</f>
        <v>0</v>
      </c>
      <c r="P10" t="b">
        <f t="shared" ref="P10" ca="1" si="69">IFERROR(MATCH(F10,Holidays,0),FALSE)</f>
        <v>0</v>
      </c>
      <c r="Q10" t="b">
        <f t="shared" ref="Q10" ca="1" si="70">IFERROR(MATCH(G10,Holidays,0),FALSE)</f>
        <v>0</v>
      </c>
    </row>
    <row r="11" spans="1:17" x14ac:dyDescent="0.25">
      <c r="A11" s="11">
        <f t="array" ref="A11:G11">DaysandWeeks+DATE(CalendarYear,MonthStart,1)-WEEKDAY(DATE(CalendarYear,MonthStart,1),1)+I11</f>
        <v>44360</v>
      </c>
      <c r="B11" s="11">
        <v>44361</v>
      </c>
      <c r="C11" s="11">
        <v>44362</v>
      </c>
      <c r="D11" s="11">
        <v>44363</v>
      </c>
      <c r="E11" s="11">
        <v>44364</v>
      </c>
      <c r="F11" s="11">
        <v>44365</v>
      </c>
      <c r="G11" s="11">
        <v>44366</v>
      </c>
      <c r="I11">
        <f>I6+7</f>
        <v>15</v>
      </c>
      <c r="K11" t="b">
        <f t="shared" ref="K11" ca="1" si="71">IFERROR(MATCH(A11,Holidays,0),FALSE)</f>
        <v>0</v>
      </c>
      <c r="L11" t="b">
        <f t="shared" ref="L11" ca="1" si="72">IFERROR(MATCH(B11,Holidays,0),FALSE)</f>
        <v>0</v>
      </c>
      <c r="M11" t="b">
        <f t="shared" ref="M11" ca="1" si="73">IFERROR(MATCH(C11,Holidays,0),FALSE)</f>
        <v>0</v>
      </c>
      <c r="N11" t="b">
        <f t="shared" ref="N11" ca="1" si="74">IFERROR(MATCH(D11,Holidays,0),FALSE)</f>
        <v>0</v>
      </c>
      <c r="O11" t="b">
        <f t="shared" ref="O11" ca="1" si="75">IFERROR(MATCH(E11,Holidays,0),FALSE)</f>
        <v>0</v>
      </c>
      <c r="P11" t="b">
        <f t="shared" ref="P11" ca="1" si="76">IFERROR(MATCH(F11,Holidays,0),FALSE)</f>
        <v>0</v>
      </c>
      <c r="Q11" t="b">
        <f t="shared" ref="Q11" ca="1" si="77">IFERROR(MATCH(G11,Holidays,0),FALSE)</f>
        <v>0</v>
      </c>
    </row>
    <row r="12" spans="1:17" x14ac:dyDescent="0.25">
      <c r="A12" s="11">
        <f t="array" ref="A12:G12">DaysandWeeks+DATE(CalendarYear,MonthStart,1)-WEEKDAY(DATE(CalendarYear,MonthStart,1),1)+I12</f>
        <v>44360</v>
      </c>
      <c r="B12" s="11">
        <v>44361</v>
      </c>
      <c r="C12" s="11">
        <v>44362</v>
      </c>
      <c r="D12" s="11">
        <v>44363</v>
      </c>
      <c r="E12" s="11">
        <v>44364</v>
      </c>
      <c r="F12" s="11">
        <v>44365</v>
      </c>
      <c r="G12" s="11">
        <v>44366</v>
      </c>
      <c r="I12">
        <f t="shared" ref="I12:I75" si="78">I7+7</f>
        <v>15</v>
      </c>
      <c r="K12" t="b">
        <f t="shared" ref="K12" ca="1" si="79">IFERROR(MATCH(A12,Holidays,0),FALSE)</f>
        <v>0</v>
      </c>
      <c r="L12" t="b">
        <f t="shared" ref="L12" ca="1" si="80">IFERROR(MATCH(B12,Holidays,0),FALSE)</f>
        <v>0</v>
      </c>
      <c r="M12" t="b">
        <f t="shared" ref="M12" ca="1" si="81">IFERROR(MATCH(C12,Holidays,0),FALSE)</f>
        <v>0</v>
      </c>
      <c r="N12" t="b">
        <f t="shared" ref="N12" ca="1" si="82">IFERROR(MATCH(D12,Holidays,0),FALSE)</f>
        <v>0</v>
      </c>
      <c r="O12" t="b">
        <f t="shared" ref="O12" ca="1" si="83">IFERROR(MATCH(E12,Holidays,0),FALSE)</f>
        <v>0</v>
      </c>
      <c r="P12" t="b">
        <f t="shared" ref="P12" ca="1" si="84">IFERROR(MATCH(F12,Holidays,0),FALSE)</f>
        <v>0</v>
      </c>
      <c r="Q12" t="b">
        <f t="shared" ref="Q12" ca="1" si="85">IFERROR(MATCH(G12,Holidays,0),FALSE)</f>
        <v>0</v>
      </c>
    </row>
    <row r="13" spans="1:17" x14ac:dyDescent="0.25">
      <c r="A13" s="11">
        <f t="array" ref="A13:G13">DaysandWeeks+DATE(CalendarYear,MonthStart,1)-WEEKDAY(DATE(CalendarYear,MonthStart,1),1)+I13</f>
        <v>44360</v>
      </c>
      <c r="B13" s="11">
        <v>44361</v>
      </c>
      <c r="C13" s="11">
        <v>44362</v>
      </c>
      <c r="D13" s="11">
        <v>44363</v>
      </c>
      <c r="E13" s="11">
        <v>44364</v>
      </c>
      <c r="F13" s="11">
        <v>44365</v>
      </c>
      <c r="G13" s="11">
        <v>44366</v>
      </c>
      <c r="I13">
        <f t="shared" si="78"/>
        <v>15</v>
      </c>
      <c r="K13" t="b">
        <f t="shared" ref="K13" ca="1" si="86">IFERROR(MATCH(A13,Holidays,0),FALSE)</f>
        <v>0</v>
      </c>
      <c r="L13" t="b">
        <f t="shared" ref="L13" ca="1" si="87">IFERROR(MATCH(B13,Holidays,0),FALSE)</f>
        <v>0</v>
      </c>
      <c r="M13" t="b">
        <f t="shared" ref="M13" ca="1" si="88">IFERROR(MATCH(C13,Holidays,0),FALSE)</f>
        <v>0</v>
      </c>
      <c r="N13" t="b">
        <f t="shared" ref="N13" ca="1" si="89">IFERROR(MATCH(D13,Holidays,0),FALSE)</f>
        <v>0</v>
      </c>
      <c r="O13" t="b">
        <f t="shared" ref="O13" ca="1" si="90">IFERROR(MATCH(E13,Holidays,0),FALSE)</f>
        <v>0</v>
      </c>
      <c r="P13" t="b">
        <f t="shared" ref="P13" ca="1" si="91">IFERROR(MATCH(F13,Holidays,0),FALSE)</f>
        <v>0</v>
      </c>
      <c r="Q13" t="b">
        <f t="shared" ref="Q13" ca="1" si="92">IFERROR(MATCH(G13,Holidays,0),FALSE)</f>
        <v>0</v>
      </c>
    </row>
    <row r="14" spans="1:17" x14ac:dyDescent="0.25">
      <c r="A14" s="11">
        <f t="array" ref="A14:G14">DaysandWeeks+DATE(CalendarYear,MonthStart,1)-WEEKDAY(DATE(CalendarYear,MonthStart,1),1)+I14</f>
        <v>44360</v>
      </c>
      <c r="B14" s="11">
        <v>44361</v>
      </c>
      <c r="C14" s="11">
        <v>44362</v>
      </c>
      <c r="D14" s="11">
        <v>44363</v>
      </c>
      <c r="E14" s="11">
        <v>44364</v>
      </c>
      <c r="F14" s="11">
        <v>44365</v>
      </c>
      <c r="G14" s="11">
        <v>44366</v>
      </c>
      <c r="I14">
        <f t="shared" si="78"/>
        <v>15</v>
      </c>
      <c r="K14" t="b">
        <f t="shared" ref="K14" ca="1" si="93">IFERROR(MATCH(A14,Holidays,0),FALSE)</f>
        <v>0</v>
      </c>
      <c r="L14" t="b">
        <f t="shared" ref="L14" ca="1" si="94">IFERROR(MATCH(B14,Holidays,0),FALSE)</f>
        <v>0</v>
      </c>
      <c r="M14" t="b">
        <f t="shared" ref="M14" ca="1" si="95">IFERROR(MATCH(C14,Holidays,0),FALSE)</f>
        <v>0</v>
      </c>
      <c r="N14" t="b">
        <f t="shared" ref="N14" ca="1" si="96">IFERROR(MATCH(D14,Holidays,0),FALSE)</f>
        <v>0</v>
      </c>
      <c r="O14" t="b">
        <f t="shared" ref="O14" ca="1" si="97">IFERROR(MATCH(E14,Holidays,0),FALSE)</f>
        <v>0</v>
      </c>
      <c r="P14" t="b">
        <f t="shared" ref="P14" ca="1" si="98">IFERROR(MATCH(F14,Holidays,0),FALSE)</f>
        <v>0</v>
      </c>
      <c r="Q14" t="b">
        <f t="shared" ref="Q14" ca="1" si="99">IFERROR(MATCH(G14,Holidays,0),FALSE)</f>
        <v>0</v>
      </c>
    </row>
    <row r="15" spans="1:17" x14ac:dyDescent="0.25">
      <c r="A15" s="11">
        <f t="array" ref="A15:G15">DaysandWeeks+DATE(CalendarYear,MonthStart,1)-WEEKDAY(DATE(CalendarYear,MonthStart,1),1)+I15</f>
        <v>44360</v>
      </c>
      <c r="B15" s="11">
        <v>44361</v>
      </c>
      <c r="C15" s="11">
        <v>44362</v>
      </c>
      <c r="D15" s="11">
        <v>44363</v>
      </c>
      <c r="E15" s="11">
        <v>44364</v>
      </c>
      <c r="F15" s="11">
        <v>44365</v>
      </c>
      <c r="G15" s="11">
        <v>44366</v>
      </c>
      <c r="I15">
        <f t="shared" si="78"/>
        <v>15</v>
      </c>
      <c r="K15" t="b">
        <f t="shared" ref="K15" ca="1" si="100">IFERROR(MATCH(A15,Holidays,0),FALSE)</f>
        <v>0</v>
      </c>
      <c r="L15" t="b">
        <f t="shared" ref="L15" ca="1" si="101">IFERROR(MATCH(B15,Holidays,0),FALSE)</f>
        <v>0</v>
      </c>
      <c r="M15" t="b">
        <f t="shared" ref="M15" ca="1" si="102">IFERROR(MATCH(C15,Holidays,0),FALSE)</f>
        <v>0</v>
      </c>
      <c r="N15" t="b">
        <f t="shared" ref="N15" ca="1" si="103">IFERROR(MATCH(D15,Holidays,0),FALSE)</f>
        <v>0</v>
      </c>
      <c r="O15" t="b">
        <f t="shared" ref="O15" ca="1" si="104">IFERROR(MATCH(E15,Holidays,0),FALSE)</f>
        <v>0</v>
      </c>
      <c r="P15" t="b">
        <f t="shared" ref="P15" ca="1" si="105">IFERROR(MATCH(F15,Holidays,0),FALSE)</f>
        <v>0</v>
      </c>
      <c r="Q15" t="b">
        <f t="shared" ref="Q15" ca="1" si="106">IFERROR(MATCH(G15,Holidays,0),FALSE)</f>
        <v>0</v>
      </c>
    </row>
    <row r="16" spans="1:17" x14ac:dyDescent="0.25">
      <c r="A16" s="11">
        <f t="array" ref="A16:G16">DaysandWeeks+DATE(CalendarYear,MonthStart,1)-WEEKDAY(DATE(CalendarYear,MonthStart,1),1)+I16</f>
        <v>44367</v>
      </c>
      <c r="B16" s="11">
        <v>44368</v>
      </c>
      <c r="C16" s="11">
        <v>44369</v>
      </c>
      <c r="D16" s="11">
        <v>44370</v>
      </c>
      <c r="E16" s="11">
        <v>44371</v>
      </c>
      <c r="F16" s="11">
        <v>44372</v>
      </c>
      <c r="G16" s="11">
        <v>44373</v>
      </c>
      <c r="I16">
        <f t="shared" si="78"/>
        <v>22</v>
      </c>
      <c r="K16" t="b">
        <f t="shared" ref="K16" ca="1" si="107">IFERROR(MATCH(A16,Holidays,0),FALSE)</f>
        <v>0</v>
      </c>
      <c r="L16" t="b">
        <f t="shared" ref="L16" ca="1" si="108">IFERROR(MATCH(B16,Holidays,0),FALSE)</f>
        <v>0</v>
      </c>
      <c r="M16" t="b">
        <f t="shared" ref="M16" ca="1" si="109">IFERROR(MATCH(C16,Holidays,0),FALSE)</f>
        <v>0</v>
      </c>
      <c r="N16" t="b">
        <f t="shared" ref="N16" ca="1" si="110">IFERROR(MATCH(D16,Holidays,0),FALSE)</f>
        <v>0</v>
      </c>
      <c r="O16" t="b">
        <f t="shared" ref="O16" ca="1" si="111">IFERROR(MATCH(E16,Holidays,0),FALSE)</f>
        <v>0</v>
      </c>
      <c r="P16" t="b">
        <f t="shared" ref="P16" ca="1" si="112">IFERROR(MATCH(F16,Holidays,0),FALSE)</f>
        <v>0</v>
      </c>
      <c r="Q16" t="b">
        <f t="shared" ref="Q16" ca="1" si="113">IFERROR(MATCH(G16,Holidays,0),FALSE)</f>
        <v>0</v>
      </c>
    </row>
    <row r="17" spans="1:17" x14ac:dyDescent="0.25">
      <c r="A17" s="11">
        <f t="array" ref="A17:G17">DaysandWeeks+DATE(CalendarYear,MonthStart,1)-WEEKDAY(DATE(CalendarYear,MonthStart,1),1)+I17</f>
        <v>44367</v>
      </c>
      <c r="B17" s="11">
        <v>44368</v>
      </c>
      <c r="C17" s="11">
        <v>44369</v>
      </c>
      <c r="D17" s="11">
        <v>44370</v>
      </c>
      <c r="E17" s="11">
        <v>44371</v>
      </c>
      <c r="F17" s="11">
        <v>44372</v>
      </c>
      <c r="G17" s="11">
        <v>44373</v>
      </c>
      <c r="I17">
        <f t="shared" si="78"/>
        <v>22</v>
      </c>
      <c r="K17" t="b">
        <f t="shared" ref="K17" ca="1" si="114">IFERROR(MATCH(A17,Holidays,0),FALSE)</f>
        <v>0</v>
      </c>
      <c r="L17" t="b">
        <f t="shared" ref="L17" ca="1" si="115">IFERROR(MATCH(B17,Holidays,0),FALSE)</f>
        <v>0</v>
      </c>
      <c r="M17" t="b">
        <f t="shared" ref="M17" ca="1" si="116">IFERROR(MATCH(C17,Holidays,0),FALSE)</f>
        <v>0</v>
      </c>
      <c r="N17" t="b">
        <f t="shared" ref="N17" ca="1" si="117">IFERROR(MATCH(D17,Holidays,0),FALSE)</f>
        <v>0</v>
      </c>
      <c r="O17" t="b">
        <f t="shared" ref="O17" ca="1" si="118">IFERROR(MATCH(E17,Holidays,0),FALSE)</f>
        <v>0</v>
      </c>
      <c r="P17" t="b">
        <f t="shared" ref="P17" ca="1" si="119">IFERROR(MATCH(F17,Holidays,0),FALSE)</f>
        <v>0</v>
      </c>
      <c r="Q17" t="b">
        <f t="shared" ref="Q17" ca="1" si="120">IFERROR(MATCH(G17,Holidays,0),FALSE)</f>
        <v>0</v>
      </c>
    </row>
    <row r="18" spans="1:17" x14ac:dyDescent="0.25">
      <c r="A18" s="11">
        <f t="array" ref="A18:G18">DaysandWeeks+DATE(CalendarYear,MonthStart,1)-WEEKDAY(DATE(CalendarYear,MonthStart,1),1)+I18</f>
        <v>44367</v>
      </c>
      <c r="B18" s="11">
        <v>44368</v>
      </c>
      <c r="C18" s="11">
        <v>44369</v>
      </c>
      <c r="D18" s="11">
        <v>44370</v>
      </c>
      <c r="E18" s="11">
        <v>44371</v>
      </c>
      <c r="F18" s="11">
        <v>44372</v>
      </c>
      <c r="G18" s="11">
        <v>44373</v>
      </c>
      <c r="I18">
        <f t="shared" si="78"/>
        <v>22</v>
      </c>
      <c r="K18" t="b">
        <f t="shared" ref="K18" ca="1" si="121">IFERROR(MATCH(A18,Holidays,0),FALSE)</f>
        <v>0</v>
      </c>
      <c r="L18" t="b">
        <f t="shared" ref="L18" ca="1" si="122">IFERROR(MATCH(B18,Holidays,0),FALSE)</f>
        <v>0</v>
      </c>
      <c r="M18" t="b">
        <f t="shared" ref="M18" ca="1" si="123">IFERROR(MATCH(C18,Holidays,0),FALSE)</f>
        <v>0</v>
      </c>
      <c r="N18" t="b">
        <f t="shared" ref="N18" ca="1" si="124">IFERROR(MATCH(D18,Holidays,0),FALSE)</f>
        <v>0</v>
      </c>
      <c r="O18" t="b">
        <f t="shared" ref="O18" ca="1" si="125">IFERROR(MATCH(E18,Holidays,0),FALSE)</f>
        <v>0</v>
      </c>
      <c r="P18" t="b">
        <f t="shared" ref="P18" ca="1" si="126">IFERROR(MATCH(F18,Holidays,0),FALSE)</f>
        <v>0</v>
      </c>
      <c r="Q18" t="b">
        <f t="shared" ref="Q18" ca="1" si="127">IFERROR(MATCH(G18,Holidays,0),FALSE)</f>
        <v>0</v>
      </c>
    </row>
    <row r="19" spans="1:17" x14ac:dyDescent="0.25">
      <c r="A19" s="11">
        <f t="array" ref="A19:G19">DaysandWeeks+DATE(CalendarYear,MonthStart,1)-WEEKDAY(DATE(CalendarYear,MonthStart,1),1)+I19</f>
        <v>44367</v>
      </c>
      <c r="B19" s="11">
        <v>44368</v>
      </c>
      <c r="C19" s="11">
        <v>44369</v>
      </c>
      <c r="D19" s="11">
        <v>44370</v>
      </c>
      <c r="E19" s="11">
        <v>44371</v>
      </c>
      <c r="F19" s="11">
        <v>44372</v>
      </c>
      <c r="G19" s="11">
        <v>44373</v>
      </c>
      <c r="I19">
        <f t="shared" si="78"/>
        <v>22</v>
      </c>
      <c r="K19" t="b">
        <f t="shared" ref="K19" ca="1" si="128">IFERROR(MATCH(A19,Holidays,0),FALSE)</f>
        <v>0</v>
      </c>
      <c r="L19" t="b">
        <f t="shared" ref="L19" ca="1" si="129">IFERROR(MATCH(B19,Holidays,0),FALSE)</f>
        <v>0</v>
      </c>
      <c r="M19" t="b">
        <f t="shared" ref="M19" ca="1" si="130">IFERROR(MATCH(C19,Holidays,0),FALSE)</f>
        <v>0</v>
      </c>
      <c r="N19" t="b">
        <f t="shared" ref="N19" ca="1" si="131">IFERROR(MATCH(D19,Holidays,0),FALSE)</f>
        <v>0</v>
      </c>
      <c r="O19" t="b">
        <f t="shared" ref="O19" ca="1" si="132">IFERROR(MATCH(E19,Holidays,0),FALSE)</f>
        <v>0</v>
      </c>
      <c r="P19" t="b">
        <f t="shared" ref="P19" ca="1" si="133">IFERROR(MATCH(F19,Holidays,0),FALSE)</f>
        <v>0</v>
      </c>
      <c r="Q19" t="b">
        <f t="shared" ref="Q19" ca="1" si="134">IFERROR(MATCH(G19,Holidays,0),FALSE)</f>
        <v>0</v>
      </c>
    </row>
    <row r="20" spans="1:17" x14ac:dyDescent="0.25">
      <c r="A20" s="11">
        <f t="array" ref="A20:G20">DaysandWeeks+DATE(CalendarYear,MonthStart,1)-WEEKDAY(DATE(CalendarYear,MonthStart,1),1)+I20</f>
        <v>44367</v>
      </c>
      <c r="B20" s="11">
        <v>44368</v>
      </c>
      <c r="C20" s="11">
        <v>44369</v>
      </c>
      <c r="D20" s="11">
        <v>44370</v>
      </c>
      <c r="E20" s="11">
        <v>44371</v>
      </c>
      <c r="F20" s="11">
        <v>44372</v>
      </c>
      <c r="G20" s="11">
        <v>44373</v>
      </c>
      <c r="I20">
        <f t="shared" si="78"/>
        <v>22</v>
      </c>
      <c r="K20" t="b">
        <f t="shared" ref="K20" ca="1" si="135">IFERROR(MATCH(A20,Holidays,0),FALSE)</f>
        <v>0</v>
      </c>
      <c r="L20" t="b">
        <f t="shared" ref="L20" ca="1" si="136">IFERROR(MATCH(B20,Holidays,0),FALSE)</f>
        <v>0</v>
      </c>
      <c r="M20" t="b">
        <f t="shared" ref="M20" ca="1" si="137">IFERROR(MATCH(C20,Holidays,0),FALSE)</f>
        <v>0</v>
      </c>
      <c r="N20" t="b">
        <f t="shared" ref="N20" ca="1" si="138">IFERROR(MATCH(D20,Holidays,0),FALSE)</f>
        <v>0</v>
      </c>
      <c r="O20" t="b">
        <f t="shared" ref="O20" ca="1" si="139">IFERROR(MATCH(E20,Holidays,0),FALSE)</f>
        <v>0</v>
      </c>
      <c r="P20" t="b">
        <f t="shared" ref="P20" ca="1" si="140">IFERROR(MATCH(F20,Holidays,0),FALSE)</f>
        <v>0</v>
      </c>
      <c r="Q20" t="b">
        <f t="shared" ref="Q20" ca="1" si="141">IFERROR(MATCH(G20,Holidays,0),FALSE)</f>
        <v>0</v>
      </c>
    </row>
    <row r="21" spans="1:17" x14ac:dyDescent="0.25">
      <c r="A21" s="11">
        <f t="array" ref="A21:G21">DaysandWeeks+DATE(CalendarYear,MonthStart,1)-WEEKDAY(DATE(CalendarYear,MonthStart,1),1)+I21</f>
        <v>44374</v>
      </c>
      <c r="B21" s="11">
        <v>44375</v>
      </c>
      <c r="C21" s="11">
        <v>44376</v>
      </c>
      <c r="D21" s="11">
        <v>44377</v>
      </c>
      <c r="E21" s="11">
        <v>44378</v>
      </c>
      <c r="F21" s="11">
        <v>44379</v>
      </c>
      <c r="G21" s="11">
        <v>44380</v>
      </c>
      <c r="I21">
        <f t="shared" si="78"/>
        <v>29</v>
      </c>
      <c r="K21" t="b">
        <f t="shared" ref="K21" ca="1" si="142">IFERROR(MATCH(A21,Holidays,0),FALSE)</f>
        <v>0</v>
      </c>
      <c r="L21" t="b">
        <f t="shared" ref="L21" ca="1" si="143">IFERROR(MATCH(B21,Holidays,0),FALSE)</f>
        <v>0</v>
      </c>
      <c r="M21" t="b">
        <f t="shared" ref="M21" ca="1" si="144">IFERROR(MATCH(C21,Holidays,0),FALSE)</f>
        <v>0</v>
      </c>
      <c r="N21" t="b">
        <f t="shared" ref="N21" ca="1" si="145">IFERROR(MATCH(D21,Holidays,0),FALSE)</f>
        <v>0</v>
      </c>
      <c r="O21" t="b">
        <f t="shared" ref="O21" ca="1" si="146">IFERROR(MATCH(E21,Holidays,0),FALSE)</f>
        <v>0</v>
      </c>
      <c r="P21" t="b">
        <f t="shared" ref="P21" ca="1" si="147">IFERROR(MATCH(F21,Holidays,0),FALSE)</f>
        <v>0</v>
      </c>
      <c r="Q21" t="b">
        <f t="shared" ref="Q21" ca="1" si="148">IFERROR(MATCH(G21,Holidays,0),FALSE)</f>
        <v>0</v>
      </c>
    </row>
    <row r="22" spans="1:17" x14ac:dyDescent="0.25">
      <c r="A22" s="11">
        <f t="array" ref="A22:G22">DaysandWeeks+DATE(CalendarYear,MonthStart,1)-WEEKDAY(DATE(CalendarYear,MonthStart,1),1)+I22</f>
        <v>44374</v>
      </c>
      <c r="B22" s="11">
        <v>44375</v>
      </c>
      <c r="C22" s="11">
        <v>44376</v>
      </c>
      <c r="D22" s="11">
        <v>44377</v>
      </c>
      <c r="E22" s="11">
        <v>44378</v>
      </c>
      <c r="F22" s="11">
        <v>44379</v>
      </c>
      <c r="G22" s="11">
        <v>44380</v>
      </c>
      <c r="I22">
        <f t="shared" si="78"/>
        <v>29</v>
      </c>
      <c r="K22" t="b">
        <f t="shared" ref="K22" ca="1" si="149">IFERROR(MATCH(A22,Holidays,0),FALSE)</f>
        <v>0</v>
      </c>
      <c r="L22" t="b">
        <f t="shared" ref="L22" ca="1" si="150">IFERROR(MATCH(B22,Holidays,0),FALSE)</f>
        <v>0</v>
      </c>
      <c r="M22" t="b">
        <f t="shared" ref="M22" ca="1" si="151">IFERROR(MATCH(C22,Holidays,0),FALSE)</f>
        <v>0</v>
      </c>
      <c r="N22" t="b">
        <f t="shared" ref="N22" ca="1" si="152">IFERROR(MATCH(D22,Holidays,0),FALSE)</f>
        <v>0</v>
      </c>
      <c r="O22" t="b">
        <f t="shared" ref="O22" ca="1" si="153">IFERROR(MATCH(E22,Holidays,0),FALSE)</f>
        <v>0</v>
      </c>
      <c r="P22" t="b">
        <f t="shared" ref="P22" ca="1" si="154">IFERROR(MATCH(F22,Holidays,0),FALSE)</f>
        <v>0</v>
      </c>
      <c r="Q22" t="b">
        <f t="shared" ref="Q22" ca="1" si="155">IFERROR(MATCH(G22,Holidays,0),FALSE)</f>
        <v>0</v>
      </c>
    </row>
    <row r="23" spans="1:17" x14ac:dyDescent="0.25">
      <c r="A23" s="11">
        <f t="array" ref="A23:G23">DaysandWeeks+DATE(CalendarYear,MonthStart,1)-WEEKDAY(DATE(CalendarYear,MonthStart,1),1)+I23</f>
        <v>44374</v>
      </c>
      <c r="B23" s="11">
        <v>44375</v>
      </c>
      <c r="C23" s="11">
        <v>44376</v>
      </c>
      <c r="D23" s="11">
        <v>44377</v>
      </c>
      <c r="E23" s="11">
        <v>44378</v>
      </c>
      <c r="F23" s="11">
        <v>44379</v>
      </c>
      <c r="G23" s="11">
        <v>44380</v>
      </c>
      <c r="I23">
        <f t="shared" si="78"/>
        <v>29</v>
      </c>
      <c r="K23" t="b">
        <f t="shared" ref="K23" ca="1" si="156">IFERROR(MATCH(A23,Holidays,0),FALSE)</f>
        <v>0</v>
      </c>
      <c r="L23" t="b">
        <f t="shared" ref="L23" ca="1" si="157">IFERROR(MATCH(B23,Holidays,0),FALSE)</f>
        <v>0</v>
      </c>
      <c r="M23" t="b">
        <f t="shared" ref="M23" ca="1" si="158">IFERROR(MATCH(C23,Holidays,0),FALSE)</f>
        <v>0</v>
      </c>
      <c r="N23" t="b">
        <f t="shared" ref="N23" ca="1" si="159">IFERROR(MATCH(D23,Holidays,0),FALSE)</f>
        <v>0</v>
      </c>
      <c r="O23" t="b">
        <f t="shared" ref="O23" ca="1" si="160">IFERROR(MATCH(E23,Holidays,0),FALSE)</f>
        <v>0</v>
      </c>
      <c r="P23" t="b">
        <f t="shared" ref="P23" ca="1" si="161">IFERROR(MATCH(F23,Holidays,0),FALSE)</f>
        <v>0</v>
      </c>
      <c r="Q23" t="b">
        <f t="shared" ref="Q23" ca="1" si="162">IFERROR(MATCH(G23,Holidays,0),FALSE)</f>
        <v>0</v>
      </c>
    </row>
    <row r="24" spans="1:17" x14ac:dyDescent="0.25">
      <c r="A24" s="11">
        <f t="array" ref="A24:G24">DaysandWeeks+DATE(CalendarYear,MonthStart,1)-WEEKDAY(DATE(CalendarYear,MonthStart,1),1)+I24</f>
        <v>44374</v>
      </c>
      <c r="B24" s="11">
        <v>44375</v>
      </c>
      <c r="C24" s="11">
        <v>44376</v>
      </c>
      <c r="D24" s="11">
        <v>44377</v>
      </c>
      <c r="E24" s="11">
        <v>44378</v>
      </c>
      <c r="F24" s="11">
        <v>44379</v>
      </c>
      <c r="G24" s="11">
        <v>44380</v>
      </c>
      <c r="I24">
        <f t="shared" si="78"/>
        <v>29</v>
      </c>
      <c r="K24" t="b">
        <f t="shared" ref="K24" ca="1" si="163">IFERROR(MATCH(A24,Holidays,0),FALSE)</f>
        <v>0</v>
      </c>
      <c r="L24" t="b">
        <f t="shared" ref="L24" ca="1" si="164">IFERROR(MATCH(B24,Holidays,0),FALSE)</f>
        <v>0</v>
      </c>
      <c r="M24" t="b">
        <f t="shared" ref="M24" ca="1" si="165">IFERROR(MATCH(C24,Holidays,0),FALSE)</f>
        <v>0</v>
      </c>
      <c r="N24" t="b">
        <f t="shared" ref="N24" ca="1" si="166">IFERROR(MATCH(D24,Holidays,0),FALSE)</f>
        <v>0</v>
      </c>
      <c r="O24" t="b">
        <f t="shared" ref="O24" ca="1" si="167">IFERROR(MATCH(E24,Holidays,0),FALSE)</f>
        <v>0</v>
      </c>
      <c r="P24" t="b">
        <f t="shared" ref="P24" ca="1" si="168">IFERROR(MATCH(F24,Holidays,0),FALSE)</f>
        <v>0</v>
      </c>
      <c r="Q24" t="b">
        <f t="shared" ref="Q24" ca="1" si="169">IFERROR(MATCH(G24,Holidays,0),FALSE)</f>
        <v>0</v>
      </c>
    </row>
    <row r="25" spans="1:17" x14ac:dyDescent="0.25">
      <c r="A25" s="11">
        <f t="array" ref="A25:G25">DaysandWeeks+DATE(CalendarYear,MonthStart,1)-WEEKDAY(DATE(CalendarYear,MonthStart,1),1)+I25</f>
        <v>44374</v>
      </c>
      <c r="B25" s="11">
        <v>44375</v>
      </c>
      <c r="C25" s="11">
        <v>44376</v>
      </c>
      <c r="D25" s="11">
        <v>44377</v>
      </c>
      <c r="E25" s="11">
        <v>44378</v>
      </c>
      <c r="F25" s="11">
        <v>44379</v>
      </c>
      <c r="G25" s="11">
        <v>44380</v>
      </c>
      <c r="I25">
        <f t="shared" si="78"/>
        <v>29</v>
      </c>
      <c r="K25" t="b">
        <f t="shared" ref="K25" ca="1" si="170">IFERROR(MATCH(A25,Holidays,0),FALSE)</f>
        <v>0</v>
      </c>
      <c r="L25" t="b">
        <f t="shared" ref="L25" ca="1" si="171">IFERROR(MATCH(B25,Holidays,0),FALSE)</f>
        <v>0</v>
      </c>
      <c r="M25" t="b">
        <f t="shared" ref="M25" ca="1" si="172">IFERROR(MATCH(C25,Holidays,0),FALSE)</f>
        <v>0</v>
      </c>
      <c r="N25" t="b">
        <f t="shared" ref="N25" ca="1" si="173">IFERROR(MATCH(D25,Holidays,0),FALSE)</f>
        <v>0</v>
      </c>
      <c r="O25" t="b">
        <f t="shared" ref="O25" ca="1" si="174">IFERROR(MATCH(E25,Holidays,0),FALSE)</f>
        <v>0</v>
      </c>
      <c r="P25" t="b">
        <f t="shared" ref="P25" ca="1" si="175">IFERROR(MATCH(F25,Holidays,0),FALSE)</f>
        <v>0</v>
      </c>
      <c r="Q25" t="b">
        <f t="shared" ref="Q25" ca="1" si="176">IFERROR(MATCH(G25,Holidays,0),FALSE)</f>
        <v>0</v>
      </c>
    </row>
    <row r="26" spans="1:17" x14ac:dyDescent="0.25">
      <c r="A26" s="11">
        <f t="array" ref="A26:G26">DaysandWeeks+DATE(CalendarYear,MonthStart,1)-WEEKDAY(DATE(CalendarYear,MonthStart,1),1)+I26</f>
        <v>44381</v>
      </c>
      <c r="B26" s="11">
        <v>44382</v>
      </c>
      <c r="C26" s="11">
        <v>44383</v>
      </c>
      <c r="D26" s="11">
        <v>44384</v>
      </c>
      <c r="E26" s="11">
        <v>44385</v>
      </c>
      <c r="F26" s="11">
        <v>44386</v>
      </c>
      <c r="G26" s="11">
        <v>44387</v>
      </c>
      <c r="I26">
        <f t="shared" si="78"/>
        <v>36</v>
      </c>
      <c r="K26" t="b">
        <f t="shared" ref="K26" ca="1" si="177">IFERROR(MATCH(A26,Holidays,0),FALSE)</f>
        <v>0</v>
      </c>
      <c r="L26" t="b">
        <f t="shared" ref="L26" ca="1" si="178">IFERROR(MATCH(B26,Holidays,0),FALSE)</f>
        <v>0</v>
      </c>
      <c r="M26" t="b">
        <f t="shared" ref="M26" ca="1" si="179">IFERROR(MATCH(C26,Holidays,0),FALSE)</f>
        <v>0</v>
      </c>
      <c r="N26" t="b">
        <f t="shared" ref="N26" ca="1" si="180">IFERROR(MATCH(D26,Holidays,0),FALSE)</f>
        <v>0</v>
      </c>
      <c r="O26" t="b">
        <f t="shared" ref="O26" ca="1" si="181">IFERROR(MATCH(E26,Holidays,0),FALSE)</f>
        <v>0</v>
      </c>
      <c r="P26" t="b">
        <f t="shared" ref="P26" ca="1" si="182">IFERROR(MATCH(F26,Holidays,0),FALSE)</f>
        <v>0</v>
      </c>
      <c r="Q26" t="b">
        <f t="shared" ref="Q26" ca="1" si="183">IFERROR(MATCH(G26,Holidays,0),FALSE)</f>
        <v>0</v>
      </c>
    </row>
    <row r="27" spans="1:17" x14ac:dyDescent="0.25">
      <c r="A27" s="11">
        <f t="array" ref="A27:G27">DaysandWeeks+DATE(CalendarYear,MonthStart,1)-WEEKDAY(DATE(CalendarYear,MonthStart,1),1)+I27</f>
        <v>44381</v>
      </c>
      <c r="B27" s="11">
        <v>44382</v>
      </c>
      <c r="C27" s="11">
        <v>44383</v>
      </c>
      <c r="D27" s="11">
        <v>44384</v>
      </c>
      <c r="E27" s="11">
        <v>44385</v>
      </c>
      <c r="F27" s="11">
        <v>44386</v>
      </c>
      <c r="G27" s="11">
        <v>44387</v>
      </c>
      <c r="I27">
        <f t="shared" si="78"/>
        <v>36</v>
      </c>
      <c r="K27" t="b">
        <f t="shared" ref="K27" ca="1" si="184">IFERROR(MATCH(A27,Holidays,0),FALSE)</f>
        <v>0</v>
      </c>
      <c r="L27" t="b">
        <f t="shared" ref="L27" ca="1" si="185">IFERROR(MATCH(B27,Holidays,0),FALSE)</f>
        <v>0</v>
      </c>
      <c r="M27" t="b">
        <f t="shared" ref="M27" ca="1" si="186">IFERROR(MATCH(C27,Holidays,0),FALSE)</f>
        <v>0</v>
      </c>
      <c r="N27" t="b">
        <f t="shared" ref="N27" ca="1" si="187">IFERROR(MATCH(D27,Holidays,0),FALSE)</f>
        <v>0</v>
      </c>
      <c r="O27" t="b">
        <f t="shared" ref="O27" ca="1" si="188">IFERROR(MATCH(E27,Holidays,0),FALSE)</f>
        <v>0</v>
      </c>
      <c r="P27" t="b">
        <f t="shared" ref="P27" ca="1" si="189">IFERROR(MATCH(F27,Holidays,0),FALSE)</f>
        <v>0</v>
      </c>
      <c r="Q27" t="b">
        <f t="shared" ref="Q27" ca="1" si="190">IFERROR(MATCH(G27,Holidays,0),FALSE)</f>
        <v>0</v>
      </c>
    </row>
    <row r="28" spans="1:17" x14ac:dyDescent="0.25">
      <c r="A28" s="11">
        <f t="array" ref="A28:G28">DaysandWeeks+DATE(CalendarYear,MonthStart,1)-WEEKDAY(DATE(CalendarYear,MonthStart,1),1)+I28</f>
        <v>44381</v>
      </c>
      <c r="B28" s="11">
        <v>44382</v>
      </c>
      <c r="C28" s="11">
        <v>44383</v>
      </c>
      <c r="D28" s="11">
        <v>44384</v>
      </c>
      <c r="E28" s="11">
        <v>44385</v>
      </c>
      <c r="F28" s="11">
        <v>44386</v>
      </c>
      <c r="G28" s="11">
        <v>44387</v>
      </c>
      <c r="I28">
        <f t="shared" si="78"/>
        <v>36</v>
      </c>
      <c r="K28" t="b">
        <f t="shared" ref="K28" ca="1" si="191">IFERROR(MATCH(A28,Holidays,0),FALSE)</f>
        <v>0</v>
      </c>
      <c r="L28" t="b">
        <f t="shared" ref="L28" ca="1" si="192">IFERROR(MATCH(B28,Holidays,0),FALSE)</f>
        <v>0</v>
      </c>
      <c r="M28" t="b">
        <f t="shared" ref="M28" ca="1" si="193">IFERROR(MATCH(C28,Holidays,0),FALSE)</f>
        <v>0</v>
      </c>
      <c r="N28" t="b">
        <f t="shared" ref="N28" ca="1" si="194">IFERROR(MATCH(D28,Holidays,0),FALSE)</f>
        <v>0</v>
      </c>
      <c r="O28" t="b">
        <f t="shared" ref="O28" ca="1" si="195">IFERROR(MATCH(E28,Holidays,0),FALSE)</f>
        <v>0</v>
      </c>
      <c r="P28" t="b">
        <f t="shared" ref="P28" ca="1" si="196">IFERROR(MATCH(F28,Holidays,0),FALSE)</f>
        <v>0</v>
      </c>
      <c r="Q28" t="b">
        <f t="shared" ref="Q28" ca="1" si="197">IFERROR(MATCH(G28,Holidays,0),FALSE)</f>
        <v>0</v>
      </c>
    </row>
    <row r="29" spans="1:17" x14ac:dyDescent="0.25">
      <c r="A29" s="11">
        <f t="array" ref="A29:G29">DaysandWeeks+DATE(CalendarYear,MonthStart,1)-WEEKDAY(DATE(CalendarYear,MonthStart,1),1)+I29</f>
        <v>44381</v>
      </c>
      <c r="B29" s="11">
        <v>44382</v>
      </c>
      <c r="C29" s="11">
        <v>44383</v>
      </c>
      <c r="D29" s="11">
        <v>44384</v>
      </c>
      <c r="E29" s="11">
        <v>44385</v>
      </c>
      <c r="F29" s="11">
        <v>44386</v>
      </c>
      <c r="G29" s="11">
        <v>44387</v>
      </c>
      <c r="I29">
        <f t="shared" si="78"/>
        <v>36</v>
      </c>
      <c r="K29" t="b">
        <f t="shared" ref="K29" ca="1" si="198">IFERROR(MATCH(A29,Holidays,0),FALSE)</f>
        <v>0</v>
      </c>
      <c r="L29" t="b">
        <f t="shared" ref="L29" ca="1" si="199">IFERROR(MATCH(B29,Holidays,0),FALSE)</f>
        <v>0</v>
      </c>
      <c r="M29" t="b">
        <f t="shared" ref="M29" ca="1" si="200">IFERROR(MATCH(C29,Holidays,0),FALSE)</f>
        <v>0</v>
      </c>
      <c r="N29" t="b">
        <f t="shared" ref="N29" ca="1" si="201">IFERROR(MATCH(D29,Holidays,0),FALSE)</f>
        <v>0</v>
      </c>
      <c r="O29" t="b">
        <f t="shared" ref="O29" ca="1" si="202">IFERROR(MATCH(E29,Holidays,0),FALSE)</f>
        <v>0</v>
      </c>
      <c r="P29" t="b">
        <f t="shared" ref="P29" ca="1" si="203">IFERROR(MATCH(F29,Holidays,0),FALSE)</f>
        <v>0</v>
      </c>
      <c r="Q29" t="b">
        <f t="shared" ref="Q29" ca="1" si="204">IFERROR(MATCH(G29,Holidays,0),FALSE)</f>
        <v>0</v>
      </c>
    </row>
    <row r="30" spans="1:17" x14ac:dyDescent="0.25">
      <c r="A30" s="11">
        <f t="array" ref="A30:G30">DaysandWeeks+DATE(CalendarYear,MonthStart,1)-WEEKDAY(DATE(CalendarYear,MonthStart,1),1)+I30</f>
        <v>44381</v>
      </c>
      <c r="B30" s="11">
        <v>44382</v>
      </c>
      <c r="C30" s="11">
        <v>44383</v>
      </c>
      <c r="D30" s="11">
        <v>44384</v>
      </c>
      <c r="E30" s="11">
        <v>44385</v>
      </c>
      <c r="F30" s="11">
        <v>44386</v>
      </c>
      <c r="G30" s="11">
        <v>44387</v>
      </c>
      <c r="I30">
        <f t="shared" si="78"/>
        <v>36</v>
      </c>
      <c r="K30" t="b">
        <f t="shared" ref="K30" ca="1" si="205">IFERROR(MATCH(A30,Holidays,0),FALSE)</f>
        <v>0</v>
      </c>
      <c r="L30" t="b">
        <f t="shared" ref="L30" ca="1" si="206">IFERROR(MATCH(B30,Holidays,0),FALSE)</f>
        <v>0</v>
      </c>
      <c r="M30" t="b">
        <f t="shared" ref="M30" ca="1" si="207">IFERROR(MATCH(C30,Holidays,0),FALSE)</f>
        <v>0</v>
      </c>
      <c r="N30" t="b">
        <f t="shared" ref="N30" ca="1" si="208">IFERROR(MATCH(D30,Holidays,0),FALSE)</f>
        <v>0</v>
      </c>
      <c r="O30" t="b">
        <f t="shared" ref="O30" ca="1" si="209">IFERROR(MATCH(E30,Holidays,0),FALSE)</f>
        <v>0</v>
      </c>
      <c r="P30" t="b">
        <f t="shared" ref="P30" ca="1" si="210">IFERROR(MATCH(F30,Holidays,0),FALSE)</f>
        <v>0</v>
      </c>
      <c r="Q30" t="b">
        <f t="shared" ref="Q30" ca="1" si="211">IFERROR(MATCH(G30,Holidays,0),FALSE)</f>
        <v>0</v>
      </c>
    </row>
    <row r="31" spans="1:17" x14ac:dyDescent="0.25">
      <c r="A31" s="11">
        <f t="array" ref="A31:G31">DaysandWeeks+DATE(CalendarYear,MonthStart,1)-WEEKDAY(DATE(CalendarYear,MonthStart,1),1)+I31</f>
        <v>44388</v>
      </c>
      <c r="B31" s="11">
        <v>44389</v>
      </c>
      <c r="C31" s="11">
        <v>44390</v>
      </c>
      <c r="D31" s="11">
        <v>44391</v>
      </c>
      <c r="E31" s="11">
        <v>44392</v>
      </c>
      <c r="F31" s="11">
        <v>44393</v>
      </c>
      <c r="G31" s="11">
        <v>44394</v>
      </c>
      <c r="I31">
        <f t="shared" si="78"/>
        <v>43</v>
      </c>
      <c r="K31" t="b">
        <f t="shared" ref="K31" ca="1" si="212">IFERROR(MATCH(A31,Holidays,0),FALSE)</f>
        <v>0</v>
      </c>
      <c r="L31" t="b">
        <f t="shared" ref="L31" ca="1" si="213">IFERROR(MATCH(B31,Holidays,0),FALSE)</f>
        <v>0</v>
      </c>
      <c r="M31" t="b">
        <f t="shared" ref="M31" ca="1" si="214">IFERROR(MATCH(C31,Holidays,0),FALSE)</f>
        <v>0</v>
      </c>
      <c r="N31" t="b">
        <f t="shared" ref="N31" ca="1" si="215">IFERROR(MATCH(D31,Holidays,0),FALSE)</f>
        <v>0</v>
      </c>
      <c r="O31" t="b">
        <f t="shared" ref="O31" ca="1" si="216">IFERROR(MATCH(E31,Holidays,0),FALSE)</f>
        <v>0</v>
      </c>
      <c r="P31" t="b">
        <f t="shared" ref="P31" ca="1" si="217">IFERROR(MATCH(F31,Holidays,0),FALSE)</f>
        <v>0</v>
      </c>
      <c r="Q31" t="b">
        <f t="shared" ref="Q31" ca="1" si="218">IFERROR(MATCH(G31,Holidays,0),FALSE)</f>
        <v>0</v>
      </c>
    </row>
    <row r="32" spans="1:17" x14ac:dyDescent="0.25">
      <c r="A32" s="11">
        <f t="array" ref="A32:G32">DaysandWeeks+DATE(CalendarYear,MonthStart,1)-WEEKDAY(DATE(CalendarYear,MonthStart,1),1)+I32</f>
        <v>44388</v>
      </c>
      <c r="B32" s="11">
        <v>44389</v>
      </c>
      <c r="C32" s="11">
        <v>44390</v>
      </c>
      <c r="D32" s="11">
        <v>44391</v>
      </c>
      <c r="E32" s="11">
        <v>44392</v>
      </c>
      <c r="F32" s="11">
        <v>44393</v>
      </c>
      <c r="G32" s="11">
        <v>44394</v>
      </c>
      <c r="I32">
        <f t="shared" si="78"/>
        <v>43</v>
      </c>
      <c r="K32" t="b">
        <f t="shared" ref="K32" ca="1" si="219">IFERROR(MATCH(A32,Holidays,0),FALSE)</f>
        <v>0</v>
      </c>
      <c r="L32" t="b">
        <f t="shared" ref="L32" ca="1" si="220">IFERROR(MATCH(B32,Holidays,0),FALSE)</f>
        <v>0</v>
      </c>
      <c r="M32" t="b">
        <f t="shared" ref="M32" ca="1" si="221">IFERROR(MATCH(C32,Holidays,0),FALSE)</f>
        <v>0</v>
      </c>
      <c r="N32" t="b">
        <f t="shared" ref="N32" ca="1" si="222">IFERROR(MATCH(D32,Holidays,0),FALSE)</f>
        <v>0</v>
      </c>
      <c r="O32" t="b">
        <f t="shared" ref="O32" ca="1" si="223">IFERROR(MATCH(E32,Holidays,0),FALSE)</f>
        <v>0</v>
      </c>
      <c r="P32" t="b">
        <f t="shared" ref="P32" ca="1" si="224">IFERROR(MATCH(F32,Holidays,0),FALSE)</f>
        <v>0</v>
      </c>
      <c r="Q32" t="b">
        <f t="shared" ref="Q32" ca="1" si="225">IFERROR(MATCH(G32,Holidays,0),FALSE)</f>
        <v>0</v>
      </c>
    </row>
    <row r="33" spans="1:17" x14ac:dyDescent="0.25">
      <c r="A33" s="11">
        <f t="array" ref="A33:G33">DaysandWeeks+DATE(CalendarYear,MonthStart,1)-WEEKDAY(DATE(CalendarYear,MonthStart,1),1)+I33</f>
        <v>44388</v>
      </c>
      <c r="B33" s="11">
        <v>44389</v>
      </c>
      <c r="C33" s="11">
        <v>44390</v>
      </c>
      <c r="D33" s="11">
        <v>44391</v>
      </c>
      <c r="E33" s="11">
        <v>44392</v>
      </c>
      <c r="F33" s="11">
        <v>44393</v>
      </c>
      <c r="G33" s="11">
        <v>44394</v>
      </c>
      <c r="I33">
        <f t="shared" si="78"/>
        <v>43</v>
      </c>
      <c r="K33" t="b">
        <f t="shared" ref="K33" ca="1" si="226">IFERROR(MATCH(A33,Holidays,0),FALSE)</f>
        <v>0</v>
      </c>
      <c r="L33" t="b">
        <f t="shared" ref="L33" ca="1" si="227">IFERROR(MATCH(B33,Holidays,0),FALSE)</f>
        <v>0</v>
      </c>
      <c r="M33" t="b">
        <f t="shared" ref="M33" ca="1" si="228">IFERROR(MATCH(C33,Holidays,0),FALSE)</f>
        <v>0</v>
      </c>
      <c r="N33" t="b">
        <f t="shared" ref="N33" ca="1" si="229">IFERROR(MATCH(D33,Holidays,0),FALSE)</f>
        <v>0</v>
      </c>
      <c r="O33" t="b">
        <f t="shared" ref="O33" ca="1" si="230">IFERROR(MATCH(E33,Holidays,0),FALSE)</f>
        <v>0</v>
      </c>
      <c r="P33" t="b">
        <f t="shared" ref="P33" ca="1" si="231">IFERROR(MATCH(F33,Holidays,0),FALSE)</f>
        <v>0</v>
      </c>
      <c r="Q33" t="b">
        <f t="shared" ref="Q33" ca="1" si="232">IFERROR(MATCH(G33,Holidays,0),FALSE)</f>
        <v>0</v>
      </c>
    </row>
    <row r="34" spans="1:17" x14ac:dyDescent="0.25">
      <c r="A34" s="11">
        <f t="array" ref="A34:G34">DaysandWeeks+DATE(CalendarYear,MonthStart,1)-WEEKDAY(DATE(CalendarYear,MonthStart,1),1)+I34</f>
        <v>44388</v>
      </c>
      <c r="B34" s="11">
        <v>44389</v>
      </c>
      <c r="C34" s="11">
        <v>44390</v>
      </c>
      <c r="D34" s="11">
        <v>44391</v>
      </c>
      <c r="E34" s="11">
        <v>44392</v>
      </c>
      <c r="F34" s="11">
        <v>44393</v>
      </c>
      <c r="G34" s="11">
        <v>44394</v>
      </c>
      <c r="I34">
        <f t="shared" si="78"/>
        <v>43</v>
      </c>
      <c r="K34" t="b">
        <f t="shared" ref="K34" ca="1" si="233">IFERROR(MATCH(A34,Holidays,0),FALSE)</f>
        <v>0</v>
      </c>
      <c r="L34" t="b">
        <f t="shared" ref="L34" ca="1" si="234">IFERROR(MATCH(B34,Holidays,0),FALSE)</f>
        <v>0</v>
      </c>
      <c r="M34" t="b">
        <f t="shared" ref="M34" ca="1" si="235">IFERROR(MATCH(C34,Holidays,0),FALSE)</f>
        <v>0</v>
      </c>
      <c r="N34" t="b">
        <f t="shared" ref="N34" ca="1" si="236">IFERROR(MATCH(D34,Holidays,0),FALSE)</f>
        <v>0</v>
      </c>
      <c r="O34" t="b">
        <f t="shared" ref="O34" ca="1" si="237">IFERROR(MATCH(E34,Holidays,0),FALSE)</f>
        <v>0</v>
      </c>
      <c r="P34" t="b">
        <f t="shared" ref="P34" ca="1" si="238">IFERROR(MATCH(F34,Holidays,0),FALSE)</f>
        <v>0</v>
      </c>
      <c r="Q34" t="b">
        <f t="shared" ref="Q34" ca="1" si="239">IFERROR(MATCH(G34,Holidays,0),FALSE)</f>
        <v>0</v>
      </c>
    </row>
    <row r="35" spans="1:17" x14ac:dyDescent="0.25">
      <c r="A35" s="11">
        <f t="array" ref="A35:G35">DaysandWeeks+DATE(CalendarYear,MonthStart,1)-WEEKDAY(DATE(CalendarYear,MonthStart,1),1)+I35</f>
        <v>44388</v>
      </c>
      <c r="B35" s="11">
        <v>44389</v>
      </c>
      <c r="C35" s="11">
        <v>44390</v>
      </c>
      <c r="D35" s="11">
        <v>44391</v>
      </c>
      <c r="E35" s="11">
        <v>44392</v>
      </c>
      <c r="F35" s="11">
        <v>44393</v>
      </c>
      <c r="G35" s="11">
        <v>44394</v>
      </c>
      <c r="I35">
        <f t="shared" si="78"/>
        <v>43</v>
      </c>
      <c r="K35" t="b">
        <f t="shared" ref="K35" ca="1" si="240">IFERROR(MATCH(A35,Holidays,0),FALSE)</f>
        <v>0</v>
      </c>
      <c r="L35" t="b">
        <f t="shared" ref="L35" ca="1" si="241">IFERROR(MATCH(B35,Holidays,0),FALSE)</f>
        <v>0</v>
      </c>
      <c r="M35" t="b">
        <f t="shared" ref="M35" ca="1" si="242">IFERROR(MATCH(C35,Holidays,0),FALSE)</f>
        <v>0</v>
      </c>
      <c r="N35" t="b">
        <f t="shared" ref="N35" ca="1" si="243">IFERROR(MATCH(D35,Holidays,0),FALSE)</f>
        <v>0</v>
      </c>
      <c r="O35" t="b">
        <f t="shared" ref="O35" ca="1" si="244">IFERROR(MATCH(E35,Holidays,0),FALSE)</f>
        <v>0</v>
      </c>
      <c r="P35" t="b">
        <f t="shared" ref="P35" ca="1" si="245">IFERROR(MATCH(F35,Holidays,0),FALSE)</f>
        <v>0</v>
      </c>
      <c r="Q35" t="b">
        <f t="shared" ref="Q35" ca="1" si="246">IFERROR(MATCH(G35,Holidays,0),FALSE)</f>
        <v>0</v>
      </c>
    </row>
    <row r="36" spans="1:17" x14ac:dyDescent="0.25">
      <c r="A36" s="11">
        <f t="array" ref="A36:G36">DaysandWeeks+DATE(CalendarYear,MonthStart,1)-WEEKDAY(DATE(CalendarYear,MonthStart,1),1)+I36</f>
        <v>44395</v>
      </c>
      <c r="B36" s="11">
        <v>44396</v>
      </c>
      <c r="C36" s="11">
        <v>44397</v>
      </c>
      <c r="D36" s="11">
        <v>44398</v>
      </c>
      <c r="E36" s="11">
        <v>44399</v>
      </c>
      <c r="F36" s="11">
        <v>44400</v>
      </c>
      <c r="G36" s="11">
        <v>44401</v>
      </c>
      <c r="I36">
        <f t="shared" si="78"/>
        <v>50</v>
      </c>
      <c r="K36" t="b">
        <f t="shared" ref="K36" ca="1" si="247">IFERROR(MATCH(A36,Holidays,0),FALSE)</f>
        <v>0</v>
      </c>
      <c r="L36" t="b">
        <f t="shared" ref="L36" ca="1" si="248">IFERROR(MATCH(B36,Holidays,0),FALSE)</f>
        <v>0</v>
      </c>
      <c r="M36" t="b">
        <f t="shared" ref="M36" ca="1" si="249">IFERROR(MATCH(C36,Holidays,0),FALSE)</f>
        <v>0</v>
      </c>
      <c r="N36" t="b">
        <f t="shared" ref="N36" ca="1" si="250">IFERROR(MATCH(D36,Holidays,0),FALSE)</f>
        <v>0</v>
      </c>
      <c r="O36" t="b">
        <f t="shared" ref="O36" ca="1" si="251">IFERROR(MATCH(E36,Holidays,0),FALSE)</f>
        <v>0</v>
      </c>
      <c r="P36" t="b">
        <f t="shared" ref="P36" ca="1" si="252">IFERROR(MATCH(F36,Holidays,0),FALSE)</f>
        <v>0</v>
      </c>
      <c r="Q36" t="b">
        <f t="shared" ref="Q36" ca="1" si="253">IFERROR(MATCH(G36,Holidays,0),FALSE)</f>
        <v>0</v>
      </c>
    </row>
    <row r="37" spans="1:17" x14ac:dyDescent="0.25">
      <c r="A37" s="11">
        <f t="array" ref="A37:G37">DaysandWeeks+DATE(CalendarYear,MonthStart,1)-WEEKDAY(DATE(CalendarYear,MonthStart,1),1)+I37</f>
        <v>44395</v>
      </c>
      <c r="B37" s="11">
        <v>44396</v>
      </c>
      <c r="C37" s="11">
        <v>44397</v>
      </c>
      <c r="D37" s="11">
        <v>44398</v>
      </c>
      <c r="E37" s="11">
        <v>44399</v>
      </c>
      <c r="F37" s="11">
        <v>44400</v>
      </c>
      <c r="G37" s="11">
        <v>44401</v>
      </c>
      <c r="I37">
        <f t="shared" si="78"/>
        <v>50</v>
      </c>
      <c r="K37" t="b">
        <f t="shared" ref="K37" ca="1" si="254">IFERROR(MATCH(A37,Holidays,0),FALSE)</f>
        <v>0</v>
      </c>
      <c r="L37" t="b">
        <f t="shared" ref="L37" ca="1" si="255">IFERROR(MATCH(B37,Holidays,0),FALSE)</f>
        <v>0</v>
      </c>
      <c r="M37" t="b">
        <f t="shared" ref="M37" ca="1" si="256">IFERROR(MATCH(C37,Holidays,0),FALSE)</f>
        <v>0</v>
      </c>
      <c r="N37" t="b">
        <f t="shared" ref="N37" ca="1" si="257">IFERROR(MATCH(D37,Holidays,0),FALSE)</f>
        <v>0</v>
      </c>
      <c r="O37" t="b">
        <f t="shared" ref="O37" ca="1" si="258">IFERROR(MATCH(E37,Holidays,0),FALSE)</f>
        <v>0</v>
      </c>
      <c r="P37" t="b">
        <f t="shared" ref="P37" ca="1" si="259">IFERROR(MATCH(F37,Holidays,0),FALSE)</f>
        <v>0</v>
      </c>
      <c r="Q37" t="b">
        <f t="shared" ref="Q37" ca="1" si="260">IFERROR(MATCH(G37,Holidays,0),FALSE)</f>
        <v>0</v>
      </c>
    </row>
    <row r="38" spans="1:17" x14ac:dyDescent="0.25">
      <c r="A38" s="11">
        <f t="array" ref="A38:G38">DaysandWeeks+DATE(CalendarYear,MonthStart,1)-WEEKDAY(DATE(CalendarYear,MonthStart,1),1)+I38</f>
        <v>44395</v>
      </c>
      <c r="B38" s="11">
        <v>44396</v>
      </c>
      <c r="C38" s="11">
        <v>44397</v>
      </c>
      <c r="D38" s="11">
        <v>44398</v>
      </c>
      <c r="E38" s="11">
        <v>44399</v>
      </c>
      <c r="F38" s="11">
        <v>44400</v>
      </c>
      <c r="G38" s="11">
        <v>44401</v>
      </c>
      <c r="I38">
        <f t="shared" si="78"/>
        <v>50</v>
      </c>
      <c r="K38" t="b">
        <f t="shared" ref="K38" ca="1" si="261">IFERROR(MATCH(A38,Holidays,0),FALSE)</f>
        <v>0</v>
      </c>
      <c r="L38" t="b">
        <f t="shared" ref="L38" ca="1" si="262">IFERROR(MATCH(B38,Holidays,0),FALSE)</f>
        <v>0</v>
      </c>
      <c r="M38" t="b">
        <f t="shared" ref="M38" ca="1" si="263">IFERROR(MATCH(C38,Holidays,0),FALSE)</f>
        <v>0</v>
      </c>
      <c r="N38" t="b">
        <f t="shared" ref="N38" ca="1" si="264">IFERROR(MATCH(D38,Holidays,0),FALSE)</f>
        <v>0</v>
      </c>
      <c r="O38" t="b">
        <f t="shared" ref="O38" ca="1" si="265">IFERROR(MATCH(E38,Holidays,0),FALSE)</f>
        <v>0</v>
      </c>
      <c r="P38" t="b">
        <f t="shared" ref="P38" ca="1" si="266">IFERROR(MATCH(F38,Holidays,0),FALSE)</f>
        <v>0</v>
      </c>
      <c r="Q38" t="b">
        <f t="shared" ref="Q38" ca="1" si="267">IFERROR(MATCH(G38,Holidays,0),FALSE)</f>
        <v>0</v>
      </c>
    </row>
    <row r="39" spans="1:17" x14ac:dyDescent="0.25">
      <c r="A39" s="11">
        <f t="array" ref="A39:G39">DaysandWeeks+DATE(CalendarYear,MonthStart,1)-WEEKDAY(DATE(CalendarYear,MonthStart,1),1)+I39</f>
        <v>44395</v>
      </c>
      <c r="B39" s="11">
        <v>44396</v>
      </c>
      <c r="C39" s="11">
        <v>44397</v>
      </c>
      <c r="D39" s="11">
        <v>44398</v>
      </c>
      <c r="E39" s="11">
        <v>44399</v>
      </c>
      <c r="F39" s="11">
        <v>44400</v>
      </c>
      <c r="G39" s="11">
        <v>44401</v>
      </c>
      <c r="I39">
        <f t="shared" si="78"/>
        <v>50</v>
      </c>
      <c r="K39" t="b">
        <f t="shared" ref="K39" ca="1" si="268">IFERROR(MATCH(A39,Holidays,0),FALSE)</f>
        <v>0</v>
      </c>
      <c r="L39" t="b">
        <f t="shared" ref="L39" ca="1" si="269">IFERROR(MATCH(B39,Holidays,0),FALSE)</f>
        <v>0</v>
      </c>
      <c r="M39" t="b">
        <f t="shared" ref="M39" ca="1" si="270">IFERROR(MATCH(C39,Holidays,0),FALSE)</f>
        <v>0</v>
      </c>
      <c r="N39" t="b">
        <f t="shared" ref="N39" ca="1" si="271">IFERROR(MATCH(D39,Holidays,0),FALSE)</f>
        <v>0</v>
      </c>
      <c r="O39" t="b">
        <f t="shared" ref="O39" ca="1" si="272">IFERROR(MATCH(E39,Holidays,0),FALSE)</f>
        <v>0</v>
      </c>
      <c r="P39" t="b">
        <f t="shared" ref="P39" ca="1" si="273">IFERROR(MATCH(F39,Holidays,0),FALSE)</f>
        <v>0</v>
      </c>
      <c r="Q39" t="b">
        <f t="shared" ref="Q39" ca="1" si="274">IFERROR(MATCH(G39,Holidays,0),FALSE)</f>
        <v>0</v>
      </c>
    </row>
    <row r="40" spans="1:17" x14ac:dyDescent="0.25">
      <c r="A40" s="11">
        <f t="array" ref="A40:G40">DaysandWeeks+DATE(CalendarYear,MonthStart,1)-WEEKDAY(DATE(CalendarYear,MonthStart,1),1)+I40</f>
        <v>44395</v>
      </c>
      <c r="B40" s="11">
        <v>44396</v>
      </c>
      <c r="C40" s="11">
        <v>44397</v>
      </c>
      <c r="D40" s="11">
        <v>44398</v>
      </c>
      <c r="E40" s="11">
        <v>44399</v>
      </c>
      <c r="F40" s="11">
        <v>44400</v>
      </c>
      <c r="G40" s="11">
        <v>44401</v>
      </c>
      <c r="I40">
        <f t="shared" si="78"/>
        <v>50</v>
      </c>
      <c r="K40" t="b">
        <f t="shared" ref="K40" ca="1" si="275">IFERROR(MATCH(A40,Holidays,0),FALSE)</f>
        <v>0</v>
      </c>
      <c r="L40" t="b">
        <f t="shared" ref="L40" ca="1" si="276">IFERROR(MATCH(B40,Holidays,0),FALSE)</f>
        <v>0</v>
      </c>
      <c r="M40" t="b">
        <f t="shared" ref="M40" ca="1" si="277">IFERROR(MATCH(C40,Holidays,0),FALSE)</f>
        <v>0</v>
      </c>
      <c r="N40" t="b">
        <f t="shared" ref="N40" ca="1" si="278">IFERROR(MATCH(D40,Holidays,0),FALSE)</f>
        <v>0</v>
      </c>
      <c r="O40" t="b">
        <f t="shared" ref="O40" ca="1" si="279">IFERROR(MATCH(E40,Holidays,0),FALSE)</f>
        <v>0</v>
      </c>
      <c r="P40" t="b">
        <f t="shared" ref="P40" ca="1" si="280">IFERROR(MATCH(F40,Holidays,0),FALSE)</f>
        <v>0</v>
      </c>
      <c r="Q40" t="b">
        <f t="shared" ref="Q40" ca="1" si="281">IFERROR(MATCH(G40,Holidays,0),FALSE)</f>
        <v>0</v>
      </c>
    </row>
    <row r="41" spans="1:17" x14ac:dyDescent="0.25">
      <c r="A41" s="11">
        <f t="array" ref="A41:G41">DaysandWeeks+DATE(CalendarYear,MonthStart,1)-WEEKDAY(DATE(CalendarYear,MonthStart,1),1)+I41</f>
        <v>44402</v>
      </c>
      <c r="B41" s="11">
        <v>44403</v>
      </c>
      <c r="C41" s="11">
        <v>44404</v>
      </c>
      <c r="D41" s="11">
        <v>44405</v>
      </c>
      <c r="E41" s="11">
        <v>44406</v>
      </c>
      <c r="F41" s="11">
        <v>44407</v>
      </c>
      <c r="G41" s="11">
        <v>44408</v>
      </c>
      <c r="I41">
        <f t="shared" si="78"/>
        <v>57</v>
      </c>
      <c r="K41" t="b">
        <f t="shared" ref="K41" ca="1" si="282">IFERROR(MATCH(A41,Holidays,0),FALSE)</f>
        <v>0</v>
      </c>
      <c r="L41" t="b">
        <f t="shared" ref="L41" ca="1" si="283">IFERROR(MATCH(B41,Holidays,0),FALSE)</f>
        <v>0</v>
      </c>
      <c r="M41" t="b">
        <f t="shared" ref="M41" ca="1" si="284">IFERROR(MATCH(C41,Holidays,0),FALSE)</f>
        <v>0</v>
      </c>
      <c r="N41" t="b">
        <f t="shared" ref="N41" ca="1" si="285">IFERROR(MATCH(D41,Holidays,0),FALSE)</f>
        <v>0</v>
      </c>
      <c r="O41" t="b">
        <f t="shared" ref="O41" ca="1" si="286">IFERROR(MATCH(E41,Holidays,0),FALSE)</f>
        <v>0</v>
      </c>
      <c r="P41" t="b">
        <f t="shared" ref="P41" ca="1" si="287">IFERROR(MATCH(F41,Holidays,0),FALSE)</f>
        <v>0</v>
      </c>
      <c r="Q41" t="b">
        <f t="shared" ref="Q41" ca="1" si="288">IFERROR(MATCH(G41,Holidays,0),FALSE)</f>
        <v>0</v>
      </c>
    </row>
    <row r="42" spans="1:17" x14ac:dyDescent="0.25">
      <c r="A42" s="11">
        <f t="array" ref="A42:G42">DaysandWeeks+DATE(CalendarYear,MonthStart,1)-WEEKDAY(DATE(CalendarYear,MonthStart,1),1)+I42</f>
        <v>44402</v>
      </c>
      <c r="B42" s="11">
        <v>44403</v>
      </c>
      <c r="C42" s="11">
        <v>44404</v>
      </c>
      <c r="D42" s="11">
        <v>44405</v>
      </c>
      <c r="E42" s="11">
        <v>44406</v>
      </c>
      <c r="F42" s="11">
        <v>44407</v>
      </c>
      <c r="G42" s="11">
        <v>44408</v>
      </c>
      <c r="I42">
        <f t="shared" si="78"/>
        <v>57</v>
      </c>
      <c r="K42" t="b">
        <f t="shared" ref="K42" ca="1" si="289">IFERROR(MATCH(A42,Holidays,0),FALSE)</f>
        <v>0</v>
      </c>
      <c r="L42" t="b">
        <f t="shared" ref="L42" ca="1" si="290">IFERROR(MATCH(B42,Holidays,0),FALSE)</f>
        <v>0</v>
      </c>
      <c r="M42" t="b">
        <f t="shared" ref="M42" ca="1" si="291">IFERROR(MATCH(C42,Holidays,0),FALSE)</f>
        <v>0</v>
      </c>
      <c r="N42" t="b">
        <f t="shared" ref="N42" ca="1" si="292">IFERROR(MATCH(D42,Holidays,0),FALSE)</f>
        <v>0</v>
      </c>
      <c r="O42" t="b">
        <f t="shared" ref="O42" ca="1" si="293">IFERROR(MATCH(E42,Holidays,0),FALSE)</f>
        <v>0</v>
      </c>
      <c r="P42" t="b">
        <f t="shared" ref="P42" ca="1" si="294">IFERROR(MATCH(F42,Holidays,0),FALSE)</f>
        <v>0</v>
      </c>
      <c r="Q42" t="b">
        <f t="shared" ref="Q42" ca="1" si="295">IFERROR(MATCH(G42,Holidays,0),FALSE)</f>
        <v>0</v>
      </c>
    </row>
    <row r="43" spans="1:17" x14ac:dyDescent="0.25">
      <c r="A43" s="11">
        <f t="array" ref="A43:G43">DaysandWeeks+DATE(CalendarYear,MonthStart,1)-WEEKDAY(DATE(CalendarYear,MonthStart,1),1)+I43</f>
        <v>44402</v>
      </c>
      <c r="B43" s="11">
        <v>44403</v>
      </c>
      <c r="C43" s="11">
        <v>44404</v>
      </c>
      <c r="D43" s="11">
        <v>44405</v>
      </c>
      <c r="E43" s="11">
        <v>44406</v>
      </c>
      <c r="F43" s="11">
        <v>44407</v>
      </c>
      <c r="G43" s="11">
        <v>44408</v>
      </c>
      <c r="I43">
        <f t="shared" si="78"/>
        <v>57</v>
      </c>
      <c r="K43" t="b">
        <f t="shared" ref="K43" ca="1" si="296">IFERROR(MATCH(A43,Holidays,0),FALSE)</f>
        <v>0</v>
      </c>
      <c r="L43" t="b">
        <f t="shared" ref="L43" ca="1" si="297">IFERROR(MATCH(B43,Holidays,0),FALSE)</f>
        <v>0</v>
      </c>
      <c r="M43" t="b">
        <f t="shared" ref="M43" ca="1" si="298">IFERROR(MATCH(C43,Holidays,0),FALSE)</f>
        <v>0</v>
      </c>
      <c r="N43" t="b">
        <f t="shared" ref="N43" ca="1" si="299">IFERROR(MATCH(D43,Holidays,0),FALSE)</f>
        <v>0</v>
      </c>
      <c r="O43" t="b">
        <f t="shared" ref="O43" ca="1" si="300">IFERROR(MATCH(E43,Holidays,0),FALSE)</f>
        <v>0</v>
      </c>
      <c r="P43" t="b">
        <f t="shared" ref="P43" ca="1" si="301">IFERROR(MATCH(F43,Holidays,0),FALSE)</f>
        <v>0</v>
      </c>
      <c r="Q43" t="b">
        <f t="shared" ref="Q43" ca="1" si="302">IFERROR(MATCH(G43,Holidays,0),FALSE)</f>
        <v>0</v>
      </c>
    </row>
    <row r="44" spans="1:17" x14ac:dyDescent="0.25">
      <c r="A44" s="11">
        <f t="array" ref="A44:G44">DaysandWeeks+DATE(CalendarYear,MonthStart,1)-WEEKDAY(DATE(CalendarYear,MonthStart,1),1)+I44</f>
        <v>44402</v>
      </c>
      <c r="B44" s="11">
        <v>44403</v>
      </c>
      <c r="C44" s="11">
        <v>44404</v>
      </c>
      <c r="D44" s="11">
        <v>44405</v>
      </c>
      <c r="E44" s="11">
        <v>44406</v>
      </c>
      <c r="F44" s="11">
        <v>44407</v>
      </c>
      <c r="G44" s="11">
        <v>44408</v>
      </c>
      <c r="I44">
        <f t="shared" si="78"/>
        <v>57</v>
      </c>
      <c r="K44" t="b">
        <f t="shared" ref="K44" ca="1" si="303">IFERROR(MATCH(A44,Holidays,0),FALSE)</f>
        <v>0</v>
      </c>
      <c r="L44" t="b">
        <f t="shared" ref="L44" ca="1" si="304">IFERROR(MATCH(B44,Holidays,0),FALSE)</f>
        <v>0</v>
      </c>
      <c r="M44" t="b">
        <f t="shared" ref="M44" ca="1" si="305">IFERROR(MATCH(C44,Holidays,0),FALSE)</f>
        <v>0</v>
      </c>
      <c r="N44" t="b">
        <f t="shared" ref="N44" ca="1" si="306">IFERROR(MATCH(D44,Holidays,0),FALSE)</f>
        <v>0</v>
      </c>
      <c r="O44" t="b">
        <f t="shared" ref="O44" ca="1" si="307">IFERROR(MATCH(E44,Holidays,0),FALSE)</f>
        <v>0</v>
      </c>
      <c r="P44" t="b">
        <f t="shared" ref="P44" ca="1" si="308">IFERROR(MATCH(F44,Holidays,0),FALSE)</f>
        <v>0</v>
      </c>
      <c r="Q44" t="b">
        <f t="shared" ref="Q44" ca="1" si="309">IFERROR(MATCH(G44,Holidays,0),FALSE)</f>
        <v>0</v>
      </c>
    </row>
    <row r="45" spans="1:17" x14ac:dyDescent="0.25">
      <c r="A45" s="11">
        <f t="array" ref="A45:G45">DaysandWeeks+DATE(CalendarYear,MonthStart,1)-WEEKDAY(DATE(CalendarYear,MonthStart,1),1)+I45</f>
        <v>44402</v>
      </c>
      <c r="B45" s="11">
        <v>44403</v>
      </c>
      <c r="C45" s="11">
        <v>44404</v>
      </c>
      <c r="D45" s="11">
        <v>44405</v>
      </c>
      <c r="E45" s="11">
        <v>44406</v>
      </c>
      <c r="F45" s="11">
        <v>44407</v>
      </c>
      <c r="G45" s="11">
        <v>44408</v>
      </c>
      <c r="I45">
        <f t="shared" si="78"/>
        <v>57</v>
      </c>
      <c r="K45" t="b">
        <f t="shared" ref="K45" ca="1" si="310">IFERROR(MATCH(A45,Holidays,0),FALSE)</f>
        <v>0</v>
      </c>
      <c r="L45" t="b">
        <f t="shared" ref="L45" ca="1" si="311">IFERROR(MATCH(B45,Holidays,0),FALSE)</f>
        <v>0</v>
      </c>
      <c r="M45" t="b">
        <f t="shared" ref="M45" ca="1" si="312">IFERROR(MATCH(C45,Holidays,0),FALSE)</f>
        <v>0</v>
      </c>
      <c r="N45" t="b">
        <f t="shared" ref="N45" ca="1" si="313">IFERROR(MATCH(D45,Holidays,0),FALSE)</f>
        <v>0</v>
      </c>
      <c r="O45" t="b">
        <f t="shared" ref="O45" ca="1" si="314">IFERROR(MATCH(E45,Holidays,0),FALSE)</f>
        <v>0</v>
      </c>
      <c r="P45" t="b">
        <f t="shared" ref="P45" ca="1" si="315">IFERROR(MATCH(F45,Holidays,0),FALSE)</f>
        <v>0</v>
      </c>
      <c r="Q45" t="b">
        <f t="shared" ref="Q45" ca="1" si="316">IFERROR(MATCH(G45,Holidays,0),FALSE)</f>
        <v>0</v>
      </c>
    </row>
    <row r="46" spans="1:17" x14ac:dyDescent="0.25">
      <c r="A46" s="11">
        <f t="array" ref="A46:G46">DaysandWeeks+DATE(CalendarYear,MonthStart,1)-WEEKDAY(DATE(CalendarYear,MonthStart,1),1)+I46</f>
        <v>44409</v>
      </c>
      <c r="B46" s="11">
        <v>44410</v>
      </c>
      <c r="C46" s="11">
        <v>44411</v>
      </c>
      <c r="D46" s="11">
        <v>44412</v>
      </c>
      <c r="E46" s="11">
        <v>44413</v>
      </c>
      <c r="F46" s="11">
        <v>44414</v>
      </c>
      <c r="G46" s="11">
        <v>44415</v>
      </c>
      <c r="I46">
        <f t="shared" si="78"/>
        <v>64</v>
      </c>
      <c r="K46" t="b">
        <f ca="1">IFERROR(MATCH(A46,Holidays,0),FALSE)</f>
        <v>0</v>
      </c>
      <c r="L46" t="b">
        <f t="shared" ref="L46" ca="1" si="317">IFERROR(MATCH(B46,Holidays,0),FALSE)</f>
        <v>0</v>
      </c>
      <c r="M46" t="b">
        <f t="shared" ref="M46" ca="1" si="318">IFERROR(MATCH(C46,Holidays,0),FALSE)</f>
        <v>0</v>
      </c>
      <c r="N46" t="b">
        <f t="shared" ref="N46" ca="1" si="319">IFERROR(MATCH(D46,Holidays,0),FALSE)</f>
        <v>0</v>
      </c>
      <c r="O46" t="b">
        <f t="shared" ref="O46" ca="1" si="320">IFERROR(MATCH(E46,Holidays,0),FALSE)</f>
        <v>0</v>
      </c>
      <c r="P46" t="b">
        <f t="shared" ref="P46" ca="1" si="321">IFERROR(MATCH(F46,Holidays,0),FALSE)</f>
        <v>0</v>
      </c>
      <c r="Q46" t="b">
        <f t="shared" ref="Q46" ca="1" si="322">IFERROR(MATCH(G46,Holidays,0),FALSE)</f>
        <v>0</v>
      </c>
    </row>
    <row r="47" spans="1:17" x14ac:dyDescent="0.25">
      <c r="A47" s="11">
        <f t="array" ref="A47:G47">DaysandWeeks+DATE(CalendarYear,MonthStart,1)-WEEKDAY(DATE(CalendarYear,MonthStart,1),1)+I47</f>
        <v>44409</v>
      </c>
      <c r="B47" s="11">
        <v>44410</v>
      </c>
      <c r="C47" s="11">
        <v>44411</v>
      </c>
      <c r="D47" s="11">
        <v>44412</v>
      </c>
      <c r="E47" s="11">
        <v>44413</v>
      </c>
      <c r="F47" s="11">
        <v>44414</v>
      </c>
      <c r="G47" s="11">
        <v>44415</v>
      </c>
      <c r="I47">
        <f t="shared" si="78"/>
        <v>64</v>
      </c>
      <c r="K47" t="b">
        <f t="shared" ref="K47" ca="1" si="323">IFERROR(MATCH(A47,Holidays,0),FALSE)</f>
        <v>0</v>
      </c>
      <c r="L47" t="b">
        <f t="shared" ref="L47" ca="1" si="324">IFERROR(MATCH(B47,Holidays,0),FALSE)</f>
        <v>0</v>
      </c>
      <c r="M47" t="b">
        <f t="shared" ref="M47" ca="1" si="325">IFERROR(MATCH(C47,Holidays,0),FALSE)</f>
        <v>0</v>
      </c>
      <c r="N47" t="b">
        <f t="shared" ref="N47" ca="1" si="326">IFERROR(MATCH(D47,Holidays,0),FALSE)</f>
        <v>0</v>
      </c>
      <c r="O47" t="b">
        <f t="shared" ref="O47" ca="1" si="327">IFERROR(MATCH(E47,Holidays,0),FALSE)</f>
        <v>0</v>
      </c>
      <c r="P47" t="b">
        <f t="shared" ref="P47" ca="1" si="328">IFERROR(MATCH(F47,Holidays,0),FALSE)</f>
        <v>0</v>
      </c>
      <c r="Q47" t="b">
        <f t="shared" ref="Q47" ca="1" si="329">IFERROR(MATCH(G47,Holidays,0),FALSE)</f>
        <v>0</v>
      </c>
    </row>
    <row r="48" spans="1:17" x14ac:dyDescent="0.25">
      <c r="A48" s="11">
        <f t="array" ref="A48:G48">DaysandWeeks+DATE(CalendarYear,MonthStart,1)-WEEKDAY(DATE(CalendarYear,MonthStart,1),1)+I48</f>
        <v>44409</v>
      </c>
      <c r="B48" s="11">
        <v>44410</v>
      </c>
      <c r="C48" s="11">
        <v>44411</v>
      </c>
      <c r="D48" s="11">
        <v>44412</v>
      </c>
      <c r="E48" s="11">
        <v>44413</v>
      </c>
      <c r="F48" s="11">
        <v>44414</v>
      </c>
      <c r="G48" s="11">
        <v>44415</v>
      </c>
      <c r="I48">
        <f t="shared" si="78"/>
        <v>64</v>
      </c>
      <c r="K48" t="b">
        <f t="shared" ref="K48" ca="1" si="330">IFERROR(MATCH(A48,Holidays,0),FALSE)</f>
        <v>0</v>
      </c>
      <c r="L48" t="b">
        <f t="shared" ref="L48" ca="1" si="331">IFERROR(MATCH(B48,Holidays,0),FALSE)</f>
        <v>0</v>
      </c>
      <c r="M48" t="b">
        <f t="shared" ref="M48" ca="1" si="332">IFERROR(MATCH(C48,Holidays,0),FALSE)</f>
        <v>0</v>
      </c>
      <c r="N48" t="b">
        <f t="shared" ref="N48" ca="1" si="333">IFERROR(MATCH(D48,Holidays,0),FALSE)</f>
        <v>0</v>
      </c>
      <c r="O48" t="b">
        <f t="shared" ref="O48" ca="1" si="334">IFERROR(MATCH(E48,Holidays,0),FALSE)</f>
        <v>0</v>
      </c>
      <c r="P48" t="b">
        <f t="shared" ref="P48" ca="1" si="335">IFERROR(MATCH(F48,Holidays,0),FALSE)</f>
        <v>0</v>
      </c>
      <c r="Q48" t="b">
        <f t="shared" ref="Q48" ca="1" si="336">IFERROR(MATCH(G48,Holidays,0),FALSE)</f>
        <v>0</v>
      </c>
    </row>
    <row r="49" spans="1:17" x14ac:dyDescent="0.25">
      <c r="A49" s="11">
        <f t="array" ref="A49:G49">DaysandWeeks+DATE(CalendarYear,MonthStart,1)-WEEKDAY(DATE(CalendarYear,MonthStart,1),1)+I49</f>
        <v>44409</v>
      </c>
      <c r="B49" s="11">
        <v>44410</v>
      </c>
      <c r="C49" s="11">
        <v>44411</v>
      </c>
      <c r="D49" s="11">
        <v>44412</v>
      </c>
      <c r="E49" s="11">
        <v>44413</v>
      </c>
      <c r="F49" s="11">
        <v>44414</v>
      </c>
      <c r="G49" s="11">
        <v>44415</v>
      </c>
      <c r="I49">
        <f t="shared" si="78"/>
        <v>64</v>
      </c>
      <c r="K49" t="b">
        <f t="shared" ref="K49" ca="1" si="337">IFERROR(MATCH(A49,Holidays,0),FALSE)</f>
        <v>0</v>
      </c>
      <c r="L49" t="b">
        <f t="shared" ref="L49" ca="1" si="338">IFERROR(MATCH(B49,Holidays,0),FALSE)</f>
        <v>0</v>
      </c>
      <c r="M49" t="b">
        <f t="shared" ref="M49" ca="1" si="339">IFERROR(MATCH(C49,Holidays,0),FALSE)</f>
        <v>0</v>
      </c>
      <c r="N49" t="b">
        <f t="shared" ref="N49" ca="1" si="340">IFERROR(MATCH(D49,Holidays,0),FALSE)</f>
        <v>0</v>
      </c>
      <c r="O49" t="b">
        <f t="shared" ref="O49" ca="1" si="341">IFERROR(MATCH(E49,Holidays,0),FALSE)</f>
        <v>0</v>
      </c>
      <c r="P49" t="b">
        <f t="shared" ref="P49" ca="1" si="342">IFERROR(MATCH(F49,Holidays,0),FALSE)</f>
        <v>0</v>
      </c>
      <c r="Q49" t="b">
        <f t="shared" ref="Q49" ca="1" si="343">IFERROR(MATCH(G49,Holidays,0),FALSE)</f>
        <v>0</v>
      </c>
    </row>
    <row r="50" spans="1:17" x14ac:dyDescent="0.25">
      <c r="A50" s="11">
        <f t="array" ref="A50:G50">DaysandWeeks+DATE(CalendarYear,MonthStart,1)-WEEKDAY(DATE(CalendarYear,MonthStart,1),1)+I50</f>
        <v>44409</v>
      </c>
      <c r="B50" s="11">
        <v>44410</v>
      </c>
      <c r="C50" s="11">
        <v>44411</v>
      </c>
      <c r="D50" s="11">
        <v>44412</v>
      </c>
      <c r="E50" s="11">
        <v>44413</v>
      </c>
      <c r="F50" s="11">
        <v>44414</v>
      </c>
      <c r="G50" s="11">
        <v>44415</v>
      </c>
      <c r="I50">
        <f t="shared" si="78"/>
        <v>64</v>
      </c>
      <c r="K50" t="b">
        <f t="shared" ref="K50" ca="1" si="344">IFERROR(MATCH(A50,Holidays,0),FALSE)</f>
        <v>0</v>
      </c>
      <c r="L50" t="b">
        <f t="shared" ref="L50" ca="1" si="345">IFERROR(MATCH(B50,Holidays,0),FALSE)</f>
        <v>0</v>
      </c>
      <c r="M50" t="b">
        <f t="shared" ref="M50" ca="1" si="346">IFERROR(MATCH(C50,Holidays,0),FALSE)</f>
        <v>0</v>
      </c>
      <c r="N50" t="b">
        <f t="shared" ref="N50" ca="1" si="347">IFERROR(MATCH(D50,Holidays,0),FALSE)</f>
        <v>0</v>
      </c>
      <c r="O50" t="b">
        <f t="shared" ref="O50" ca="1" si="348">IFERROR(MATCH(E50,Holidays,0),FALSE)</f>
        <v>0</v>
      </c>
      <c r="P50" t="b">
        <f t="shared" ref="P50" ca="1" si="349">IFERROR(MATCH(F50,Holidays,0),FALSE)</f>
        <v>0</v>
      </c>
      <c r="Q50" t="b">
        <f t="shared" ref="Q50" ca="1" si="350">IFERROR(MATCH(G50,Holidays,0),FALSE)</f>
        <v>0</v>
      </c>
    </row>
    <row r="51" spans="1:17" x14ac:dyDescent="0.25">
      <c r="A51" s="11">
        <f t="array" ref="A51:G51">DaysandWeeks+DATE(CalendarYear,MonthStart,1)-WEEKDAY(DATE(CalendarYear,MonthStart,1),1)+I51</f>
        <v>44416</v>
      </c>
      <c r="B51" s="11">
        <v>44417</v>
      </c>
      <c r="C51" s="11">
        <v>44418</v>
      </c>
      <c r="D51" s="11">
        <v>44419</v>
      </c>
      <c r="E51" s="11">
        <v>44420</v>
      </c>
      <c r="F51" s="11">
        <v>44421</v>
      </c>
      <c r="G51" s="11">
        <v>44422</v>
      </c>
      <c r="I51">
        <f t="shared" si="78"/>
        <v>71</v>
      </c>
      <c r="K51" t="b">
        <f t="shared" ref="K51" ca="1" si="351">IFERROR(MATCH(A51,Holidays,0),FALSE)</f>
        <v>0</v>
      </c>
      <c r="L51" t="b">
        <f t="shared" ref="L51" ca="1" si="352">IFERROR(MATCH(B51,Holidays,0),FALSE)</f>
        <v>0</v>
      </c>
      <c r="M51" t="b">
        <f t="shared" ref="M51" ca="1" si="353">IFERROR(MATCH(C51,Holidays,0),FALSE)</f>
        <v>0</v>
      </c>
      <c r="N51" t="b">
        <f t="shared" ref="N51" ca="1" si="354">IFERROR(MATCH(D51,Holidays,0),FALSE)</f>
        <v>0</v>
      </c>
      <c r="O51" t="b">
        <f t="shared" ref="O51" ca="1" si="355">IFERROR(MATCH(E51,Holidays,0),FALSE)</f>
        <v>0</v>
      </c>
      <c r="P51" t="b">
        <f t="shared" ref="P51" ca="1" si="356">IFERROR(MATCH(F51,Holidays,0),FALSE)</f>
        <v>0</v>
      </c>
      <c r="Q51" t="b">
        <f t="shared" ref="Q51" ca="1" si="357">IFERROR(MATCH(G51,Holidays,0),FALSE)</f>
        <v>0</v>
      </c>
    </row>
    <row r="52" spans="1:17" x14ac:dyDescent="0.25">
      <c r="A52" s="11">
        <f t="array" ref="A52:G52">DaysandWeeks+DATE(CalendarYear,MonthStart,1)-WEEKDAY(DATE(CalendarYear,MonthStart,1),1)+I52</f>
        <v>44416</v>
      </c>
      <c r="B52" s="11">
        <v>44417</v>
      </c>
      <c r="C52" s="11">
        <v>44418</v>
      </c>
      <c r="D52" s="11">
        <v>44419</v>
      </c>
      <c r="E52" s="11">
        <v>44420</v>
      </c>
      <c r="F52" s="11">
        <v>44421</v>
      </c>
      <c r="G52" s="11">
        <v>44422</v>
      </c>
      <c r="I52">
        <f t="shared" si="78"/>
        <v>71</v>
      </c>
      <c r="K52" t="b">
        <f t="shared" ref="K52" ca="1" si="358">IFERROR(MATCH(A52,Holidays,0),FALSE)</f>
        <v>0</v>
      </c>
      <c r="L52" t="b">
        <f t="shared" ref="L52" ca="1" si="359">IFERROR(MATCH(B52,Holidays,0),FALSE)</f>
        <v>0</v>
      </c>
      <c r="M52" t="b">
        <f t="shared" ref="M52" ca="1" si="360">IFERROR(MATCH(C52,Holidays,0),FALSE)</f>
        <v>0</v>
      </c>
      <c r="N52" t="b">
        <f t="shared" ref="N52" ca="1" si="361">IFERROR(MATCH(D52,Holidays,0),FALSE)</f>
        <v>0</v>
      </c>
      <c r="O52" t="b">
        <f t="shared" ref="O52" ca="1" si="362">IFERROR(MATCH(E52,Holidays,0),FALSE)</f>
        <v>0</v>
      </c>
      <c r="P52" t="b">
        <f t="shared" ref="P52" ca="1" si="363">IFERROR(MATCH(F52,Holidays,0),FALSE)</f>
        <v>0</v>
      </c>
      <c r="Q52" t="b">
        <f t="shared" ref="Q52" ca="1" si="364">IFERROR(MATCH(G52,Holidays,0),FALSE)</f>
        <v>0</v>
      </c>
    </row>
    <row r="53" spans="1:17" x14ac:dyDescent="0.25">
      <c r="A53" s="11">
        <f t="array" ref="A53:G53">DaysandWeeks+DATE(CalendarYear,MonthStart,1)-WEEKDAY(DATE(CalendarYear,MonthStart,1),1)+I53</f>
        <v>44416</v>
      </c>
      <c r="B53" s="11">
        <v>44417</v>
      </c>
      <c r="C53" s="11">
        <v>44418</v>
      </c>
      <c r="D53" s="11">
        <v>44419</v>
      </c>
      <c r="E53" s="11">
        <v>44420</v>
      </c>
      <c r="F53" s="11">
        <v>44421</v>
      </c>
      <c r="G53" s="11">
        <v>44422</v>
      </c>
      <c r="I53">
        <f t="shared" si="78"/>
        <v>71</v>
      </c>
      <c r="K53" t="b">
        <f t="shared" ref="K53" ca="1" si="365">IFERROR(MATCH(A53,Holidays,0),FALSE)</f>
        <v>0</v>
      </c>
      <c r="L53" t="b">
        <f t="shared" ref="L53" ca="1" si="366">IFERROR(MATCH(B53,Holidays,0),FALSE)</f>
        <v>0</v>
      </c>
      <c r="M53" t="b">
        <f t="shared" ref="M53" ca="1" si="367">IFERROR(MATCH(C53,Holidays,0),FALSE)</f>
        <v>0</v>
      </c>
      <c r="N53" t="b">
        <f t="shared" ref="N53" ca="1" si="368">IFERROR(MATCH(D53,Holidays,0),FALSE)</f>
        <v>0</v>
      </c>
      <c r="O53" t="b">
        <f t="shared" ref="O53" ca="1" si="369">IFERROR(MATCH(E53,Holidays,0),FALSE)</f>
        <v>0</v>
      </c>
      <c r="P53" t="b">
        <f t="shared" ref="P53" ca="1" si="370">IFERROR(MATCH(F53,Holidays,0),FALSE)</f>
        <v>0</v>
      </c>
      <c r="Q53" t="b">
        <f t="shared" ref="Q53" ca="1" si="371">IFERROR(MATCH(G53,Holidays,0),FALSE)</f>
        <v>0</v>
      </c>
    </row>
    <row r="54" spans="1:17" x14ac:dyDescent="0.25">
      <c r="A54" s="11">
        <f t="array" ref="A54:G54">DaysandWeeks+DATE(CalendarYear,MonthStart,1)-WEEKDAY(DATE(CalendarYear,MonthStart,1),1)+I54</f>
        <v>44416</v>
      </c>
      <c r="B54" s="11">
        <v>44417</v>
      </c>
      <c r="C54" s="11">
        <v>44418</v>
      </c>
      <c r="D54" s="11">
        <v>44419</v>
      </c>
      <c r="E54" s="11">
        <v>44420</v>
      </c>
      <c r="F54" s="11">
        <v>44421</v>
      </c>
      <c r="G54" s="11">
        <v>44422</v>
      </c>
      <c r="I54">
        <f t="shared" si="78"/>
        <v>71</v>
      </c>
      <c r="K54" t="b">
        <f t="shared" ref="K54" ca="1" si="372">IFERROR(MATCH(A54,Holidays,0),FALSE)</f>
        <v>0</v>
      </c>
      <c r="L54" t="b">
        <f t="shared" ref="L54" ca="1" si="373">IFERROR(MATCH(B54,Holidays,0),FALSE)</f>
        <v>0</v>
      </c>
      <c r="M54" t="b">
        <f t="shared" ref="M54" ca="1" si="374">IFERROR(MATCH(C54,Holidays,0),FALSE)</f>
        <v>0</v>
      </c>
      <c r="N54" t="b">
        <f t="shared" ref="N54" ca="1" si="375">IFERROR(MATCH(D54,Holidays,0),FALSE)</f>
        <v>0</v>
      </c>
      <c r="O54" t="b">
        <f t="shared" ref="O54" ca="1" si="376">IFERROR(MATCH(E54,Holidays,0),FALSE)</f>
        <v>0</v>
      </c>
      <c r="P54" t="b">
        <f t="shared" ref="P54" ca="1" si="377">IFERROR(MATCH(F54,Holidays,0),FALSE)</f>
        <v>0</v>
      </c>
      <c r="Q54" t="b">
        <f t="shared" ref="Q54" ca="1" si="378">IFERROR(MATCH(G54,Holidays,0),FALSE)</f>
        <v>0</v>
      </c>
    </row>
    <row r="55" spans="1:17" x14ac:dyDescent="0.25">
      <c r="A55" s="11">
        <f t="array" ref="A55:G55">DaysandWeeks+DATE(CalendarYear,MonthStart,1)-WEEKDAY(DATE(CalendarYear,MonthStart,1),1)+I55</f>
        <v>44416</v>
      </c>
      <c r="B55" s="11">
        <v>44417</v>
      </c>
      <c r="C55" s="11">
        <v>44418</v>
      </c>
      <c r="D55" s="11">
        <v>44419</v>
      </c>
      <c r="E55" s="11">
        <v>44420</v>
      </c>
      <c r="F55" s="11">
        <v>44421</v>
      </c>
      <c r="G55" s="11">
        <v>44422</v>
      </c>
      <c r="I55">
        <f t="shared" si="78"/>
        <v>71</v>
      </c>
      <c r="K55" t="b">
        <f t="shared" ref="K55" ca="1" si="379">IFERROR(MATCH(A55,Holidays,0),FALSE)</f>
        <v>0</v>
      </c>
      <c r="L55" t="b">
        <f t="shared" ref="L55" ca="1" si="380">IFERROR(MATCH(B55,Holidays,0),FALSE)</f>
        <v>0</v>
      </c>
      <c r="M55" t="b">
        <f t="shared" ref="M55" ca="1" si="381">IFERROR(MATCH(C55,Holidays,0),FALSE)</f>
        <v>0</v>
      </c>
      <c r="N55" t="b">
        <f t="shared" ref="N55" ca="1" si="382">IFERROR(MATCH(D55,Holidays,0),FALSE)</f>
        <v>0</v>
      </c>
      <c r="O55" t="b">
        <f t="shared" ref="O55" ca="1" si="383">IFERROR(MATCH(E55,Holidays,0),FALSE)</f>
        <v>0</v>
      </c>
      <c r="P55" t="b">
        <f t="shared" ref="P55" ca="1" si="384">IFERROR(MATCH(F55,Holidays,0),FALSE)</f>
        <v>0</v>
      </c>
      <c r="Q55" t="b">
        <f t="shared" ref="Q55" ca="1" si="385">IFERROR(MATCH(G55,Holidays,0),FALSE)</f>
        <v>0</v>
      </c>
    </row>
    <row r="56" spans="1:17" x14ac:dyDescent="0.25">
      <c r="A56" s="11">
        <f t="array" ref="A56:G56">DaysandWeeks+DATE(CalendarYear,MonthStart,1)-WEEKDAY(DATE(CalendarYear,MonthStart,1),1)+I56</f>
        <v>44423</v>
      </c>
      <c r="B56" s="11">
        <v>44424</v>
      </c>
      <c r="C56" s="11">
        <v>44425</v>
      </c>
      <c r="D56" s="11">
        <v>44426</v>
      </c>
      <c r="E56" s="11">
        <v>44427</v>
      </c>
      <c r="F56" s="11">
        <v>44428</v>
      </c>
      <c r="G56" s="11">
        <v>44429</v>
      </c>
      <c r="I56">
        <f t="shared" si="78"/>
        <v>78</v>
      </c>
      <c r="K56" t="b">
        <f t="shared" ref="K56" ca="1" si="386">IFERROR(MATCH(A56,Holidays,0),FALSE)</f>
        <v>0</v>
      </c>
      <c r="L56" t="b">
        <f t="shared" ref="L56" ca="1" si="387">IFERROR(MATCH(B56,Holidays,0),FALSE)</f>
        <v>0</v>
      </c>
      <c r="M56" t="b">
        <f t="shared" ref="M56" ca="1" si="388">IFERROR(MATCH(C56,Holidays,0),FALSE)</f>
        <v>0</v>
      </c>
      <c r="N56" t="b">
        <f t="shared" ref="N56" ca="1" si="389">IFERROR(MATCH(D56,Holidays,0),FALSE)</f>
        <v>0</v>
      </c>
      <c r="O56" t="b">
        <f t="shared" ref="O56" ca="1" si="390">IFERROR(MATCH(E56,Holidays,0),FALSE)</f>
        <v>0</v>
      </c>
      <c r="P56" t="b">
        <f t="shared" ref="P56" ca="1" si="391">IFERROR(MATCH(F56,Holidays,0),FALSE)</f>
        <v>0</v>
      </c>
      <c r="Q56" t="b">
        <f t="shared" ref="Q56" ca="1" si="392">IFERROR(MATCH(G56,Holidays,0),FALSE)</f>
        <v>0</v>
      </c>
    </row>
    <row r="57" spans="1:17" x14ac:dyDescent="0.25">
      <c r="A57" s="11">
        <f t="array" ref="A57:G57">DaysandWeeks+DATE(CalendarYear,MonthStart,1)-WEEKDAY(DATE(CalendarYear,MonthStart,1),1)+I57</f>
        <v>44423</v>
      </c>
      <c r="B57" s="11">
        <v>44424</v>
      </c>
      <c r="C57" s="11">
        <v>44425</v>
      </c>
      <c r="D57" s="11">
        <v>44426</v>
      </c>
      <c r="E57" s="11">
        <v>44427</v>
      </c>
      <c r="F57" s="11">
        <v>44428</v>
      </c>
      <c r="G57" s="11">
        <v>44429</v>
      </c>
      <c r="I57">
        <f t="shared" si="78"/>
        <v>78</v>
      </c>
      <c r="K57" t="b">
        <f t="shared" ref="K57" ca="1" si="393">IFERROR(MATCH(A57,Holidays,0),FALSE)</f>
        <v>0</v>
      </c>
      <c r="L57" t="b">
        <f t="shared" ref="L57" ca="1" si="394">IFERROR(MATCH(B57,Holidays,0),FALSE)</f>
        <v>0</v>
      </c>
      <c r="M57" t="b">
        <f t="shared" ref="M57" ca="1" si="395">IFERROR(MATCH(C57,Holidays,0),FALSE)</f>
        <v>0</v>
      </c>
      <c r="N57" t="b">
        <f t="shared" ref="N57" ca="1" si="396">IFERROR(MATCH(D57,Holidays,0),FALSE)</f>
        <v>0</v>
      </c>
      <c r="O57" t="b">
        <f t="shared" ref="O57" ca="1" si="397">IFERROR(MATCH(E57,Holidays,0),FALSE)</f>
        <v>0</v>
      </c>
      <c r="P57" t="b">
        <f t="shared" ref="P57" ca="1" si="398">IFERROR(MATCH(F57,Holidays,0),FALSE)</f>
        <v>0</v>
      </c>
      <c r="Q57" t="b">
        <f t="shared" ref="Q57" ca="1" si="399">IFERROR(MATCH(G57,Holidays,0),FALSE)</f>
        <v>0</v>
      </c>
    </row>
    <row r="58" spans="1:17" x14ac:dyDescent="0.25">
      <c r="A58" s="11">
        <f t="array" ref="A58:G58">DaysandWeeks+DATE(CalendarYear,MonthStart,1)-WEEKDAY(DATE(CalendarYear,MonthStart,1),1)+I58</f>
        <v>44423</v>
      </c>
      <c r="B58" s="11">
        <v>44424</v>
      </c>
      <c r="C58" s="11">
        <v>44425</v>
      </c>
      <c r="D58" s="11">
        <v>44426</v>
      </c>
      <c r="E58" s="11">
        <v>44427</v>
      </c>
      <c r="F58" s="11">
        <v>44428</v>
      </c>
      <c r="G58" s="11">
        <v>44429</v>
      </c>
      <c r="I58">
        <f t="shared" si="78"/>
        <v>78</v>
      </c>
      <c r="K58" t="b">
        <f t="shared" ref="K58" ca="1" si="400">IFERROR(MATCH(A58,Holidays,0),FALSE)</f>
        <v>0</v>
      </c>
      <c r="L58" t="b">
        <f t="shared" ref="L58" ca="1" si="401">IFERROR(MATCH(B58,Holidays,0),FALSE)</f>
        <v>0</v>
      </c>
      <c r="M58" t="b">
        <f t="shared" ref="M58" ca="1" si="402">IFERROR(MATCH(C58,Holidays,0),FALSE)</f>
        <v>0</v>
      </c>
      <c r="N58" t="b">
        <f t="shared" ref="N58" ca="1" si="403">IFERROR(MATCH(D58,Holidays,0),FALSE)</f>
        <v>0</v>
      </c>
      <c r="O58" t="b">
        <f t="shared" ref="O58" ca="1" si="404">IFERROR(MATCH(E58,Holidays,0),FALSE)</f>
        <v>0</v>
      </c>
      <c r="P58" t="b">
        <f t="shared" ref="P58" ca="1" si="405">IFERROR(MATCH(F58,Holidays,0),FALSE)</f>
        <v>0</v>
      </c>
      <c r="Q58" t="b">
        <f t="shared" ref="Q58" ca="1" si="406">IFERROR(MATCH(G58,Holidays,0),FALSE)</f>
        <v>0</v>
      </c>
    </row>
    <row r="59" spans="1:17" x14ac:dyDescent="0.25">
      <c r="A59" s="11">
        <f t="array" ref="A59:G59">DaysandWeeks+DATE(CalendarYear,MonthStart,1)-WEEKDAY(DATE(CalendarYear,MonthStart,1),1)+I59</f>
        <v>44423</v>
      </c>
      <c r="B59" s="11">
        <v>44424</v>
      </c>
      <c r="C59" s="11">
        <v>44425</v>
      </c>
      <c r="D59" s="11">
        <v>44426</v>
      </c>
      <c r="E59" s="11">
        <v>44427</v>
      </c>
      <c r="F59" s="11">
        <v>44428</v>
      </c>
      <c r="G59" s="11">
        <v>44429</v>
      </c>
      <c r="I59">
        <f t="shared" si="78"/>
        <v>78</v>
      </c>
      <c r="K59" t="b">
        <f t="shared" ref="K59" ca="1" si="407">IFERROR(MATCH(A59,Holidays,0),FALSE)</f>
        <v>0</v>
      </c>
      <c r="L59" t="b">
        <f t="shared" ref="L59" ca="1" si="408">IFERROR(MATCH(B59,Holidays,0),FALSE)</f>
        <v>0</v>
      </c>
      <c r="M59" t="b">
        <f t="shared" ref="M59" ca="1" si="409">IFERROR(MATCH(C59,Holidays,0),FALSE)</f>
        <v>0</v>
      </c>
      <c r="N59" t="b">
        <f t="shared" ref="N59" ca="1" si="410">IFERROR(MATCH(D59,Holidays,0),FALSE)</f>
        <v>0</v>
      </c>
      <c r="O59" t="b">
        <f t="shared" ref="O59" ca="1" si="411">IFERROR(MATCH(E59,Holidays,0),FALSE)</f>
        <v>0</v>
      </c>
      <c r="P59" t="b">
        <f t="shared" ref="P59" ca="1" si="412">IFERROR(MATCH(F59,Holidays,0),FALSE)</f>
        <v>0</v>
      </c>
      <c r="Q59" t="b">
        <f t="shared" ref="Q59" ca="1" si="413">IFERROR(MATCH(G59,Holidays,0),FALSE)</f>
        <v>0</v>
      </c>
    </row>
    <row r="60" spans="1:17" x14ac:dyDescent="0.25">
      <c r="A60" s="11">
        <f t="array" ref="A60:G60">DaysandWeeks+DATE(CalendarYear,MonthStart,1)-WEEKDAY(DATE(CalendarYear,MonthStart,1),1)+I60</f>
        <v>44423</v>
      </c>
      <c r="B60" s="11">
        <v>44424</v>
      </c>
      <c r="C60" s="11">
        <v>44425</v>
      </c>
      <c r="D60" s="11">
        <v>44426</v>
      </c>
      <c r="E60" s="11">
        <v>44427</v>
      </c>
      <c r="F60" s="11">
        <v>44428</v>
      </c>
      <c r="G60" s="11">
        <v>44429</v>
      </c>
      <c r="I60">
        <f t="shared" si="78"/>
        <v>78</v>
      </c>
      <c r="K60" t="b">
        <f t="shared" ref="K60" ca="1" si="414">IFERROR(MATCH(A60,Holidays,0),FALSE)</f>
        <v>0</v>
      </c>
      <c r="L60" t="b">
        <f t="shared" ref="L60" ca="1" si="415">IFERROR(MATCH(B60,Holidays,0),FALSE)</f>
        <v>0</v>
      </c>
      <c r="M60" t="b">
        <f t="shared" ref="M60" ca="1" si="416">IFERROR(MATCH(C60,Holidays,0),FALSE)</f>
        <v>0</v>
      </c>
      <c r="N60" t="b">
        <f t="shared" ref="N60" ca="1" si="417">IFERROR(MATCH(D60,Holidays,0),FALSE)</f>
        <v>0</v>
      </c>
      <c r="O60" t="b">
        <f t="shared" ref="O60" ca="1" si="418">IFERROR(MATCH(E60,Holidays,0),FALSE)</f>
        <v>0</v>
      </c>
      <c r="P60" t="b">
        <f t="shared" ref="P60" ca="1" si="419">IFERROR(MATCH(F60,Holidays,0),FALSE)</f>
        <v>0</v>
      </c>
      <c r="Q60" t="b">
        <f t="shared" ref="Q60" ca="1" si="420">IFERROR(MATCH(G60,Holidays,0),FALSE)</f>
        <v>0</v>
      </c>
    </row>
    <row r="61" spans="1:17" x14ac:dyDescent="0.25">
      <c r="A61" s="11">
        <f t="array" ref="A61:G61">DaysandWeeks+DATE(CalendarYear,MonthStart,1)-WEEKDAY(DATE(CalendarYear,MonthStart,1),1)+I61</f>
        <v>44430</v>
      </c>
      <c r="B61" s="11">
        <v>44431</v>
      </c>
      <c r="C61" s="11">
        <v>44432</v>
      </c>
      <c r="D61" s="11">
        <v>44433</v>
      </c>
      <c r="E61" s="11">
        <v>44434</v>
      </c>
      <c r="F61" s="11">
        <v>44435</v>
      </c>
      <c r="G61" s="11">
        <v>44436</v>
      </c>
      <c r="I61">
        <f t="shared" si="78"/>
        <v>85</v>
      </c>
      <c r="K61" t="b">
        <f t="shared" ref="K61" ca="1" si="421">IFERROR(MATCH(A61,Holidays,0),FALSE)</f>
        <v>0</v>
      </c>
      <c r="L61" t="b">
        <f t="shared" ref="L61" ca="1" si="422">IFERROR(MATCH(B61,Holidays,0),FALSE)</f>
        <v>0</v>
      </c>
      <c r="M61" t="b">
        <f t="shared" ref="M61" ca="1" si="423">IFERROR(MATCH(C61,Holidays,0),FALSE)</f>
        <v>0</v>
      </c>
      <c r="N61" t="b">
        <f t="shared" ref="N61" ca="1" si="424">IFERROR(MATCH(D61,Holidays,0),FALSE)</f>
        <v>0</v>
      </c>
      <c r="O61" t="b">
        <f t="shared" ref="O61" ca="1" si="425">IFERROR(MATCH(E61,Holidays,0),FALSE)</f>
        <v>0</v>
      </c>
      <c r="P61" t="b">
        <f t="shared" ref="P61" ca="1" si="426">IFERROR(MATCH(F61,Holidays,0),FALSE)</f>
        <v>0</v>
      </c>
      <c r="Q61" t="b">
        <f t="shared" ref="Q61" ca="1" si="427">IFERROR(MATCH(G61,Holidays,0),FALSE)</f>
        <v>0</v>
      </c>
    </row>
    <row r="62" spans="1:17" x14ac:dyDescent="0.25">
      <c r="A62" s="11">
        <f t="array" ref="A62:G62">DaysandWeeks+DATE(CalendarYear,MonthStart,1)-WEEKDAY(DATE(CalendarYear,MonthStart,1),1)+I62</f>
        <v>44430</v>
      </c>
      <c r="B62" s="11">
        <v>44431</v>
      </c>
      <c r="C62" s="11">
        <v>44432</v>
      </c>
      <c r="D62" s="11">
        <v>44433</v>
      </c>
      <c r="E62" s="11">
        <v>44434</v>
      </c>
      <c r="F62" s="11">
        <v>44435</v>
      </c>
      <c r="G62" s="11">
        <v>44436</v>
      </c>
      <c r="I62">
        <f t="shared" si="78"/>
        <v>85</v>
      </c>
      <c r="K62" t="b">
        <f t="shared" ref="K62" ca="1" si="428">IFERROR(MATCH(A62,Holidays,0),FALSE)</f>
        <v>0</v>
      </c>
      <c r="L62" t="b">
        <f t="shared" ref="L62" ca="1" si="429">IFERROR(MATCH(B62,Holidays,0),FALSE)</f>
        <v>0</v>
      </c>
      <c r="M62" t="b">
        <f t="shared" ref="M62" ca="1" si="430">IFERROR(MATCH(C62,Holidays,0),FALSE)</f>
        <v>0</v>
      </c>
      <c r="N62" t="b">
        <f t="shared" ref="N62" ca="1" si="431">IFERROR(MATCH(D62,Holidays,0),FALSE)</f>
        <v>0</v>
      </c>
      <c r="O62" t="b">
        <f t="shared" ref="O62" ca="1" si="432">IFERROR(MATCH(E62,Holidays,0),FALSE)</f>
        <v>0</v>
      </c>
      <c r="P62" t="b">
        <f t="shared" ref="P62" ca="1" si="433">IFERROR(MATCH(F62,Holidays,0),FALSE)</f>
        <v>0</v>
      </c>
      <c r="Q62" t="b">
        <f t="shared" ref="Q62" ca="1" si="434">IFERROR(MATCH(G62,Holidays,0),FALSE)</f>
        <v>0</v>
      </c>
    </row>
    <row r="63" spans="1:17" x14ac:dyDescent="0.25">
      <c r="A63" s="11">
        <f t="array" ref="A63:G63">DaysandWeeks+DATE(CalendarYear,MonthStart,1)-WEEKDAY(DATE(CalendarYear,MonthStart,1),1)+I63</f>
        <v>44430</v>
      </c>
      <c r="B63" s="11">
        <v>44431</v>
      </c>
      <c r="C63" s="11">
        <v>44432</v>
      </c>
      <c r="D63" s="11">
        <v>44433</v>
      </c>
      <c r="E63" s="11">
        <v>44434</v>
      </c>
      <c r="F63" s="11">
        <v>44435</v>
      </c>
      <c r="G63" s="11">
        <v>44436</v>
      </c>
      <c r="I63">
        <f t="shared" si="78"/>
        <v>85</v>
      </c>
      <c r="K63" t="b">
        <f t="shared" ref="K63" ca="1" si="435">IFERROR(MATCH(A63,Holidays,0),FALSE)</f>
        <v>0</v>
      </c>
      <c r="L63" t="b">
        <f t="shared" ref="L63" ca="1" si="436">IFERROR(MATCH(B63,Holidays,0),FALSE)</f>
        <v>0</v>
      </c>
      <c r="M63" t="b">
        <f t="shared" ref="M63" ca="1" si="437">IFERROR(MATCH(C63,Holidays,0),FALSE)</f>
        <v>0</v>
      </c>
      <c r="N63" t="b">
        <f t="shared" ref="N63" ca="1" si="438">IFERROR(MATCH(D63,Holidays,0),FALSE)</f>
        <v>0</v>
      </c>
      <c r="O63" t="b">
        <f t="shared" ref="O63" ca="1" si="439">IFERROR(MATCH(E63,Holidays,0),FALSE)</f>
        <v>0</v>
      </c>
      <c r="P63" t="b">
        <f t="shared" ref="P63" ca="1" si="440">IFERROR(MATCH(F63,Holidays,0),FALSE)</f>
        <v>0</v>
      </c>
      <c r="Q63" t="b">
        <f t="shared" ref="Q63" ca="1" si="441">IFERROR(MATCH(G63,Holidays,0),FALSE)</f>
        <v>0</v>
      </c>
    </row>
    <row r="64" spans="1:17" x14ac:dyDescent="0.25">
      <c r="A64" s="11">
        <f t="array" ref="A64:G64">DaysandWeeks+DATE(CalendarYear,MonthStart,1)-WEEKDAY(DATE(CalendarYear,MonthStart,1),1)+I64</f>
        <v>44430</v>
      </c>
      <c r="B64" s="11">
        <v>44431</v>
      </c>
      <c r="C64" s="11">
        <v>44432</v>
      </c>
      <c r="D64" s="11">
        <v>44433</v>
      </c>
      <c r="E64" s="11">
        <v>44434</v>
      </c>
      <c r="F64" s="11">
        <v>44435</v>
      </c>
      <c r="G64" s="11">
        <v>44436</v>
      </c>
      <c r="I64">
        <f t="shared" si="78"/>
        <v>85</v>
      </c>
      <c r="K64" t="b">
        <f t="shared" ref="K64" ca="1" si="442">IFERROR(MATCH(A64,Holidays,0),FALSE)</f>
        <v>0</v>
      </c>
      <c r="L64" t="b">
        <f t="shared" ref="L64" ca="1" si="443">IFERROR(MATCH(B64,Holidays,0),FALSE)</f>
        <v>0</v>
      </c>
      <c r="M64" t="b">
        <f t="shared" ref="M64" ca="1" si="444">IFERROR(MATCH(C64,Holidays,0),FALSE)</f>
        <v>0</v>
      </c>
      <c r="N64" t="b">
        <f t="shared" ref="N64" ca="1" si="445">IFERROR(MATCH(D64,Holidays,0),FALSE)</f>
        <v>0</v>
      </c>
      <c r="O64" t="b">
        <f t="shared" ref="O64" ca="1" si="446">IFERROR(MATCH(E64,Holidays,0),FALSE)</f>
        <v>0</v>
      </c>
      <c r="P64" t="b">
        <f t="shared" ref="P64" ca="1" si="447">IFERROR(MATCH(F64,Holidays,0),FALSE)</f>
        <v>0</v>
      </c>
      <c r="Q64" t="b">
        <f t="shared" ref="Q64" ca="1" si="448">IFERROR(MATCH(G64,Holidays,0),FALSE)</f>
        <v>0</v>
      </c>
    </row>
    <row r="65" spans="1:17" x14ac:dyDescent="0.25">
      <c r="A65" s="11">
        <f t="array" ref="A65:G65">DaysandWeeks+DATE(CalendarYear,MonthStart,1)-WEEKDAY(DATE(CalendarYear,MonthStart,1),1)+I65</f>
        <v>44430</v>
      </c>
      <c r="B65" s="11">
        <v>44431</v>
      </c>
      <c r="C65" s="11">
        <v>44432</v>
      </c>
      <c r="D65" s="11">
        <v>44433</v>
      </c>
      <c r="E65" s="11">
        <v>44434</v>
      </c>
      <c r="F65" s="11">
        <v>44435</v>
      </c>
      <c r="G65" s="11">
        <v>44436</v>
      </c>
      <c r="I65">
        <f t="shared" si="78"/>
        <v>85</v>
      </c>
      <c r="K65" t="b">
        <f t="shared" ref="K65" ca="1" si="449">IFERROR(MATCH(A65,Holidays,0),FALSE)</f>
        <v>0</v>
      </c>
      <c r="L65" t="b">
        <f t="shared" ref="L65" ca="1" si="450">IFERROR(MATCH(B65,Holidays,0),FALSE)</f>
        <v>0</v>
      </c>
      <c r="M65" t="b">
        <f t="shared" ref="M65" ca="1" si="451">IFERROR(MATCH(C65,Holidays,0),FALSE)</f>
        <v>0</v>
      </c>
      <c r="N65" t="b">
        <f t="shared" ref="N65" ca="1" si="452">IFERROR(MATCH(D65,Holidays,0),FALSE)</f>
        <v>0</v>
      </c>
      <c r="O65" t="b">
        <f t="shared" ref="O65" ca="1" si="453">IFERROR(MATCH(E65,Holidays,0),FALSE)</f>
        <v>0</v>
      </c>
      <c r="P65" t="b">
        <f t="shared" ref="P65" ca="1" si="454">IFERROR(MATCH(F65,Holidays,0),FALSE)</f>
        <v>0</v>
      </c>
      <c r="Q65" t="b">
        <f t="shared" ref="Q65" ca="1" si="455">IFERROR(MATCH(G65,Holidays,0),FALSE)</f>
        <v>0</v>
      </c>
    </row>
    <row r="66" spans="1:17" x14ac:dyDescent="0.25">
      <c r="A66" s="11">
        <f t="array" ref="A66:G66">DaysandWeeks+DATE(CalendarYear,MonthStart,1)-WEEKDAY(DATE(CalendarYear,MonthStart,1),1)+I66</f>
        <v>44437</v>
      </c>
      <c r="B66" s="11">
        <v>44438</v>
      </c>
      <c r="C66" s="11">
        <v>44439</v>
      </c>
      <c r="D66" s="11">
        <v>44440</v>
      </c>
      <c r="E66" s="11">
        <v>44441</v>
      </c>
      <c r="F66" s="11">
        <v>44442</v>
      </c>
      <c r="G66" s="11">
        <v>44443</v>
      </c>
      <c r="I66">
        <f t="shared" si="78"/>
        <v>92</v>
      </c>
      <c r="K66" t="b">
        <f t="shared" ref="K66" ca="1" si="456">IFERROR(MATCH(A66,Holidays,0),FALSE)</f>
        <v>0</v>
      </c>
      <c r="L66" t="b">
        <f t="shared" ref="L66" ca="1" si="457">IFERROR(MATCH(B66,Holidays,0),FALSE)</f>
        <v>0</v>
      </c>
      <c r="M66" t="b">
        <f t="shared" ref="M66" ca="1" si="458">IFERROR(MATCH(C66,Holidays,0),FALSE)</f>
        <v>0</v>
      </c>
      <c r="N66" t="b">
        <f t="shared" ref="N66" ca="1" si="459">IFERROR(MATCH(D66,Holidays,0),FALSE)</f>
        <v>0</v>
      </c>
      <c r="O66" t="b">
        <f t="shared" ref="O66" ca="1" si="460">IFERROR(MATCH(E66,Holidays,0),FALSE)</f>
        <v>0</v>
      </c>
      <c r="P66" t="b">
        <f t="shared" ref="P66" ca="1" si="461">IFERROR(MATCH(F66,Holidays,0),FALSE)</f>
        <v>0</v>
      </c>
      <c r="Q66" t="b">
        <f t="shared" ref="Q66" ca="1" si="462">IFERROR(MATCH(G66,Holidays,0),FALSE)</f>
        <v>0</v>
      </c>
    </row>
    <row r="67" spans="1:17" x14ac:dyDescent="0.25">
      <c r="A67" s="11">
        <f t="array" ref="A67:G67">DaysandWeeks+DATE(CalendarYear,MonthStart,1)-WEEKDAY(DATE(CalendarYear,MonthStart,1),1)+I67</f>
        <v>44437</v>
      </c>
      <c r="B67" s="11">
        <v>44438</v>
      </c>
      <c r="C67" s="11">
        <v>44439</v>
      </c>
      <c r="D67" s="11">
        <v>44440</v>
      </c>
      <c r="E67" s="11">
        <v>44441</v>
      </c>
      <c r="F67" s="11">
        <v>44442</v>
      </c>
      <c r="G67" s="11">
        <v>44443</v>
      </c>
      <c r="I67">
        <f t="shared" si="78"/>
        <v>92</v>
      </c>
      <c r="K67" t="b">
        <f t="shared" ref="K67" ca="1" si="463">IFERROR(MATCH(A67,Holidays,0),FALSE)</f>
        <v>0</v>
      </c>
      <c r="L67" t="b">
        <f t="shared" ref="L67" ca="1" si="464">IFERROR(MATCH(B67,Holidays,0),FALSE)</f>
        <v>0</v>
      </c>
      <c r="M67" t="b">
        <f t="shared" ref="M67" ca="1" si="465">IFERROR(MATCH(C67,Holidays,0),FALSE)</f>
        <v>0</v>
      </c>
      <c r="N67" t="b">
        <f t="shared" ref="N67" ca="1" si="466">IFERROR(MATCH(D67,Holidays,0),FALSE)</f>
        <v>0</v>
      </c>
      <c r="O67" t="b">
        <f t="shared" ref="O67" ca="1" si="467">IFERROR(MATCH(E67,Holidays,0),FALSE)</f>
        <v>0</v>
      </c>
      <c r="P67" t="b">
        <f t="shared" ref="P67" ca="1" si="468">IFERROR(MATCH(F67,Holidays,0),FALSE)</f>
        <v>0</v>
      </c>
      <c r="Q67" t="b">
        <f t="shared" ref="Q67" ca="1" si="469">IFERROR(MATCH(G67,Holidays,0),FALSE)</f>
        <v>0</v>
      </c>
    </row>
    <row r="68" spans="1:17" x14ac:dyDescent="0.25">
      <c r="A68" s="11">
        <f t="array" ref="A68:G68">DaysandWeeks+DATE(CalendarYear,MonthStart,1)-WEEKDAY(DATE(CalendarYear,MonthStart,1),1)+I68</f>
        <v>44437</v>
      </c>
      <c r="B68" s="11">
        <v>44438</v>
      </c>
      <c r="C68" s="11">
        <v>44439</v>
      </c>
      <c r="D68" s="11">
        <v>44440</v>
      </c>
      <c r="E68" s="11">
        <v>44441</v>
      </c>
      <c r="F68" s="11">
        <v>44442</v>
      </c>
      <c r="G68" s="11">
        <v>44443</v>
      </c>
      <c r="I68">
        <f t="shared" si="78"/>
        <v>92</v>
      </c>
      <c r="K68" t="b">
        <f t="shared" ref="K68" ca="1" si="470">IFERROR(MATCH(A68,Holidays,0),FALSE)</f>
        <v>0</v>
      </c>
      <c r="L68" t="b">
        <f t="shared" ref="L68" ca="1" si="471">IFERROR(MATCH(B68,Holidays,0),FALSE)</f>
        <v>0</v>
      </c>
      <c r="M68" t="b">
        <f t="shared" ref="M68" ca="1" si="472">IFERROR(MATCH(C68,Holidays,0),FALSE)</f>
        <v>0</v>
      </c>
      <c r="N68" t="b">
        <f t="shared" ref="N68" ca="1" si="473">IFERROR(MATCH(D68,Holidays,0),FALSE)</f>
        <v>0</v>
      </c>
      <c r="O68" t="b">
        <f t="shared" ref="O68" ca="1" si="474">IFERROR(MATCH(E68,Holidays,0),FALSE)</f>
        <v>0</v>
      </c>
      <c r="P68" t="b">
        <f t="shared" ref="P68" ca="1" si="475">IFERROR(MATCH(F68,Holidays,0),FALSE)</f>
        <v>0</v>
      </c>
      <c r="Q68" t="b">
        <f t="shared" ref="Q68" ca="1" si="476">IFERROR(MATCH(G68,Holidays,0),FALSE)</f>
        <v>0</v>
      </c>
    </row>
    <row r="69" spans="1:17" x14ac:dyDescent="0.25">
      <c r="A69" s="11">
        <f t="array" ref="A69:G69">DaysandWeeks+DATE(CalendarYear,MonthStart,1)-WEEKDAY(DATE(CalendarYear,MonthStart,1),1)+I69</f>
        <v>44437</v>
      </c>
      <c r="B69" s="11">
        <v>44438</v>
      </c>
      <c r="C69" s="11">
        <v>44439</v>
      </c>
      <c r="D69" s="11">
        <v>44440</v>
      </c>
      <c r="E69" s="11">
        <v>44441</v>
      </c>
      <c r="F69" s="11">
        <v>44442</v>
      </c>
      <c r="G69" s="11">
        <v>44443</v>
      </c>
      <c r="I69">
        <f t="shared" si="78"/>
        <v>92</v>
      </c>
      <c r="K69" t="b">
        <f t="shared" ref="K69" ca="1" si="477">IFERROR(MATCH(A69,Holidays,0),FALSE)</f>
        <v>0</v>
      </c>
      <c r="L69" t="b">
        <f t="shared" ref="L69" ca="1" si="478">IFERROR(MATCH(B69,Holidays,0),FALSE)</f>
        <v>0</v>
      </c>
      <c r="M69" t="b">
        <f t="shared" ref="M69" ca="1" si="479">IFERROR(MATCH(C69,Holidays,0),FALSE)</f>
        <v>0</v>
      </c>
      <c r="N69" t="b">
        <f t="shared" ref="N69" ca="1" si="480">IFERROR(MATCH(D69,Holidays,0),FALSE)</f>
        <v>0</v>
      </c>
      <c r="O69" t="b">
        <f t="shared" ref="O69" ca="1" si="481">IFERROR(MATCH(E69,Holidays,0),FALSE)</f>
        <v>0</v>
      </c>
      <c r="P69" t="b">
        <f t="shared" ref="P69" ca="1" si="482">IFERROR(MATCH(F69,Holidays,0),FALSE)</f>
        <v>0</v>
      </c>
      <c r="Q69" t="b">
        <f t="shared" ref="Q69" ca="1" si="483">IFERROR(MATCH(G69,Holidays,0),FALSE)</f>
        <v>0</v>
      </c>
    </row>
    <row r="70" spans="1:17" x14ac:dyDescent="0.25">
      <c r="A70" s="11">
        <f t="array" ref="A70:G70">DaysandWeeks+DATE(CalendarYear,MonthStart,1)-WEEKDAY(DATE(CalendarYear,MonthStart,1),1)+I70</f>
        <v>44437</v>
      </c>
      <c r="B70" s="11">
        <v>44438</v>
      </c>
      <c r="C70" s="11">
        <v>44439</v>
      </c>
      <c r="D70" s="11">
        <v>44440</v>
      </c>
      <c r="E70" s="11">
        <v>44441</v>
      </c>
      <c r="F70" s="11">
        <v>44442</v>
      </c>
      <c r="G70" s="11">
        <v>44443</v>
      </c>
      <c r="I70">
        <f t="shared" si="78"/>
        <v>92</v>
      </c>
      <c r="K70" t="b">
        <f t="shared" ref="K70" ca="1" si="484">IFERROR(MATCH(A70,Holidays,0),FALSE)</f>
        <v>0</v>
      </c>
      <c r="L70" t="b">
        <f t="shared" ref="L70" ca="1" si="485">IFERROR(MATCH(B70,Holidays,0),FALSE)</f>
        <v>0</v>
      </c>
      <c r="M70" t="b">
        <f t="shared" ref="M70" ca="1" si="486">IFERROR(MATCH(C70,Holidays,0),FALSE)</f>
        <v>0</v>
      </c>
      <c r="N70" t="b">
        <f t="shared" ref="N70" ca="1" si="487">IFERROR(MATCH(D70,Holidays,0),FALSE)</f>
        <v>0</v>
      </c>
      <c r="O70" t="b">
        <f t="shared" ref="O70" ca="1" si="488">IFERROR(MATCH(E70,Holidays,0),FALSE)</f>
        <v>0</v>
      </c>
      <c r="P70" t="b">
        <f t="shared" ref="P70" ca="1" si="489">IFERROR(MATCH(F70,Holidays,0),FALSE)</f>
        <v>0</v>
      </c>
      <c r="Q70" t="b">
        <f t="shared" ref="Q70" ca="1" si="490">IFERROR(MATCH(G70,Holidays,0),FALSE)</f>
        <v>0</v>
      </c>
    </row>
    <row r="71" spans="1:17" x14ac:dyDescent="0.25">
      <c r="A71" s="11">
        <f t="array" ref="A71:G71">DaysandWeeks+DATE(CalendarYear,MonthStart,1)-WEEKDAY(DATE(CalendarYear,MonthStart,1),1)+I71</f>
        <v>44444</v>
      </c>
      <c r="B71" s="11">
        <v>44445</v>
      </c>
      <c r="C71" s="11">
        <v>44446</v>
      </c>
      <c r="D71" s="11">
        <v>44447</v>
      </c>
      <c r="E71" s="11">
        <v>44448</v>
      </c>
      <c r="F71" s="11">
        <v>44449</v>
      </c>
      <c r="G71" s="11">
        <v>44450</v>
      </c>
      <c r="I71">
        <f t="shared" si="78"/>
        <v>99</v>
      </c>
      <c r="K71" t="b">
        <f t="shared" ref="K71" ca="1" si="491">IFERROR(MATCH(A71,Holidays,0),FALSE)</f>
        <v>0</v>
      </c>
      <c r="L71" t="b">
        <f t="shared" ref="L71" ca="1" si="492">IFERROR(MATCH(B71,Holidays,0),FALSE)</f>
        <v>0</v>
      </c>
      <c r="M71" t="b">
        <f t="shared" ref="M71" ca="1" si="493">IFERROR(MATCH(C71,Holidays,0),FALSE)</f>
        <v>0</v>
      </c>
      <c r="N71" t="b">
        <f t="shared" ref="N71" ca="1" si="494">IFERROR(MATCH(D71,Holidays,0),FALSE)</f>
        <v>0</v>
      </c>
      <c r="O71" t="b">
        <f t="shared" ref="O71" ca="1" si="495">IFERROR(MATCH(E71,Holidays,0),FALSE)</f>
        <v>0</v>
      </c>
      <c r="P71" t="b">
        <f t="shared" ref="P71" ca="1" si="496">IFERROR(MATCH(F71,Holidays,0),FALSE)</f>
        <v>0</v>
      </c>
      <c r="Q71" t="b">
        <f t="shared" ref="Q71" ca="1" si="497">IFERROR(MATCH(G71,Holidays,0),FALSE)</f>
        <v>0</v>
      </c>
    </row>
    <row r="72" spans="1:17" x14ac:dyDescent="0.25">
      <c r="A72" s="11">
        <f t="array" ref="A72:G72">DaysandWeeks+DATE(CalendarYear,MonthStart,1)-WEEKDAY(DATE(CalendarYear,MonthStart,1),1)+I72</f>
        <v>44444</v>
      </c>
      <c r="B72" s="11">
        <v>44445</v>
      </c>
      <c r="C72" s="11">
        <v>44446</v>
      </c>
      <c r="D72" s="11">
        <v>44447</v>
      </c>
      <c r="E72" s="11">
        <v>44448</v>
      </c>
      <c r="F72" s="11">
        <v>44449</v>
      </c>
      <c r="G72" s="11">
        <v>44450</v>
      </c>
      <c r="I72">
        <f t="shared" si="78"/>
        <v>99</v>
      </c>
      <c r="K72" t="b">
        <f t="shared" ref="K72" ca="1" si="498">IFERROR(MATCH(A72,Holidays,0),FALSE)</f>
        <v>0</v>
      </c>
      <c r="L72" t="b">
        <f t="shared" ref="L72" ca="1" si="499">IFERROR(MATCH(B72,Holidays,0),FALSE)</f>
        <v>0</v>
      </c>
      <c r="M72" t="b">
        <f t="shared" ref="M72" ca="1" si="500">IFERROR(MATCH(C72,Holidays,0),FALSE)</f>
        <v>0</v>
      </c>
      <c r="N72" t="b">
        <f t="shared" ref="N72" ca="1" si="501">IFERROR(MATCH(D72,Holidays,0),FALSE)</f>
        <v>0</v>
      </c>
      <c r="O72" t="b">
        <f t="shared" ref="O72" ca="1" si="502">IFERROR(MATCH(E72,Holidays,0),FALSE)</f>
        <v>0</v>
      </c>
      <c r="P72" t="b">
        <f t="shared" ref="P72" ca="1" si="503">IFERROR(MATCH(F72,Holidays,0),FALSE)</f>
        <v>0</v>
      </c>
      <c r="Q72" t="b">
        <f t="shared" ref="Q72" ca="1" si="504">IFERROR(MATCH(G72,Holidays,0),FALSE)</f>
        <v>0</v>
      </c>
    </row>
    <row r="73" spans="1:17" x14ac:dyDescent="0.25">
      <c r="A73" s="11">
        <f t="array" ref="A73:G73">DaysandWeeks+DATE(CalendarYear,MonthStart,1)-WEEKDAY(DATE(CalendarYear,MonthStart,1),1)+I73</f>
        <v>44444</v>
      </c>
      <c r="B73" s="11">
        <v>44445</v>
      </c>
      <c r="C73" s="11">
        <v>44446</v>
      </c>
      <c r="D73" s="11">
        <v>44447</v>
      </c>
      <c r="E73" s="11">
        <v>44448</v>
      </c>
      <c r="F73" s="11">
        <v>44449</v>
      </c>
      <c r="G73" s="11">
        <v>44450</v>
      </c>
      <c r="I73">
        <f t="shared" si="78"/>
        <v>99</v>
      </c>
      <c r="K73" t="b">
        <f t="shared" ref="K73" ca="1" si="505">IFERROR(MATCH(A73,Holidays,0),FALSE)</f>
        <v>0</v>
      </c>
      <c r="L73" t="b">
        <f t="shared" ref="L73" ca="1" si="506">IFERROR(MATCH(B73,Holidays,0),FALSE)</f>
        <v>0</v>
      </c>
      <c r="M73" t="b">
        <f t="shared" ref="M73" ca="1" si="507">IFERROR(MATCH(C73,Holidays,0),FALSE)</f>
        <v>0</v>
      </c>
      <c r="N73" t="b">
        <f t="shared" ref="N73" ca="1" si="508">IFERROR(MATCH(D73,Holidays,0),FALSE)</f>
        <v>0</v>
      </c>
      <c r="O73" t="b">
        <f t="shared" ref="O73" ca="1" si="509">IFERROR(MATCH(E73,Holidays,0),FALSE)</f>
        <v>0</v>
      </c>
      <c r="P73" t="b">
        <f t="shared" ref="P73" ca="1" si="510">IFERROR(MATCH(F73,Holidays,0),FALSE)</f>
        <v>0</v>
      </c>
      <c r="Q73" t="b">
        <f t="shared" ref="Q73" ca="1" si="511">IFERROR(MATCH(G73,Holidays,0),FALSE)</f>
        <v>0</v>
      </c>
    </row>
    <row r="74" spans="1:17" x14ac:dyDescent="0.25">
      <c r="A74" s="11">
        <f t="array" ref="A74:G74">DaysandWeeks+DATE(CalendarYear,MonthStart,1)-WEEKDAY(DATE(CalendarYear,MonthStart,1),1)+I74</f>
        <v>44444</v>
      </c>
      <c r="B74" s="11">
        <v>44445</v>
      </c>
      <c r="C74" s="11">
        <v>44446</v>
      </c>
      <c r="D74" s="11">
        <v>44447</v>
      </c>
      <c r="E74" s="11">
        <v>44448</v>
      </c>
      <c r="F74" s="11">
        <v>44449</v>
      </c>
      <c r="G74" s="11">
        <v>44450</v>
      </c>
      <c r="I74">
        <f t="shared" si="78"/>
        <v>99</v>
      </c>
      <c r="K74" t="b">
        <f t="shared" ref="K74" ca="1" si="512">IFERROR(MATCH(A74,Holidays,0),FALSE)</f>
        <v>0</v>
      </c>
      <c r="L74" t="b">
        <f t="shared" ref="L74" ca="1" si="513">IFERROR(MATCH(B74,Holidays,0),FALSE)</f>
        <v>0</v>
      </c>
      <c r="M74" t="b">
        <f t="shared" ref="M74" ca="1" si="514">IFERROR(MATCH(C74,Holidays,0),FALSE)</f>
        <v>0</v>
      </c>
      <c r="N74" t="b">
        <f t="shared" ref="N74" ca="1" si="515">IFERROR(MATCH(D74,Holidays,0),FALSE)</f>
        <v>0</v>
      </c>
      <c r="O74" t="b">
        <f t="shared" ref="O74" ca="1" si="516">IFERROR(MATCH(E74,Holidays,0),FALSE)</f>
        <v>0</v>
      </c>
      <c r="P74" t="b">
        <f t="shared" ref="P74" ca="1" si="517">IFERROR(MATCH(F74,Holidays,0),FALSE)</f>
        <v>0</v>
      </c>
      <c r="Q74" t="b">
        <f t="shared" ref="Q74" ca="1" si="518">IFERROR(MATCH(G74,Holidays,0),FALSE)</f>
        <v>0</v>
      </c>
    </row>
    <row r="75" spans="1:17" x14ac:dyDescent="0.25">
      <c r="A75" s="11">
        <f t="array" ref="A75:G75">DaysandWeeks+DATE(CalendarYear,MonthStart,1)-WEEKDAY(DATE(CalendarYear,MonthStart,1),1)+I75</f>
        <v>44444</v>
      </c>
      <c r="B75" s="11">
        <v>44445</v>
      </c>
      <c r="C75" s="11">
        <v>44446</v>
      </c>
      <c r="D75" s="11">
        <v>44447</v>
      </c>
      <c r="E75" s="11">
        <v>44448</v>
      </c>
      <c r="F75" s="11">
        <v>44449</v>
      </c>
      <c r="G75" s="11">
        <v>44450</v>
      </c>
      <c r="I75">
        <f t="shared" si="78"/>
        <v>99</v>
      </c>
      <c r="K75" t="b">
        <f t="shared" ref="K75" ca="1" si="519">IFERROR(MATCH(A75,Holidays,0),FALSE)</f>
        <v>0</v>
      </c>
      <c r="L75" t="b">
        <f t="shared" ref="L75" ca="1" si="520">IFERROR(MATCH(B75,Holidays,0),FALSE)</f>
        <v>0</v>
      </c>
      <c r="M75" t="b">
        <f t="shared" ref="M75" ca="1" si="521">IFERROR(MATCH(C75,Holidays,0),FALSE)</f>
        <v>0</v>
      </c>
      <c r="N75" t="b">
        <f t="shared" ref="N75" ca="1" si="522">IFERROR(MATCH(D75,Holidays,0),FALSE)</f>
        <v>0</v>
      </c>
      <c r="O75" t="b">
        <f t="shared" ref="O75" ca="1" si="523">IFERROR(MATCH(E75,Holidays,0),FALSE)</f>
        <v>0</v>
      </c>
      <c r="P75" t="b">
        <f t="shared" ref="P75" ca="1" si="524">IFERROR(MATCH(F75,Holidays,0),FALSE)</f>
        <v>0</v>
      </c>
      <c r="Q75" t="b">
        <f t="shared" ref="Q75" ca="1" si="525">IFERROR(MATCH(G75,Holidays,0),FALSE)</f>
        <v>0</v>
      </c>
    </row>
    <row r="76" spans="1:17" x14ac:dyDescent="0.25">
      <c r="A76" s="11">
        <f t="array" ref="A76:G76">DaysandWeeks+DATE(CalendarYear,MonthStart,1)-WEEKDAY(DATE(CalendarYear,MonthStart,1),1)+I76</f>
        <v>44451</v>
      </c>
      <c r="B76" s="11">
        <v>44452</v>
      </c>
      <c r="C76" s="11">
        <v>44453</v>
      </c>
      <c r="D76" s="11">
        <v>44454</v>
      </c>
      <c r="E76" s="11">
        <v>44455</v>
      </c>
      <c r="F76" s="11">
        <v>44456</v>
      </c>
      <c r="G76" s="11">
        <v>44457</v>
      </c>
      <c r="I76">
        <f t="shared" ref="I76:I100" si="526">I71+7</f>
        <v>106</v>
      </c>
      <c r="K76" t="b">
        <f t="shared" ref="K76" ca="1" si="527">IFERROR(MATCH(A76,Holidays,0),FALSE)</f>
        <v>0</v>
      </c>
      <c r="L76" t="b">
        <f t="shared" ref="L76" ca="1" si="528">IFERROR(MATCH(B76,Holidays,0),FALSE)</f>
        <v>0</v>
      </c>
      <c r="M76" t="b">
        <f t="shared" ref="M76" ca="1" si="529">IFERROR(MATCH(C76,Holidays,0),FALSE)</f>
        <v>0</v>
      </c>
      <c r="N76" t="b">
        <f t="shared" ref="N76" ca="1" si="530">IFERROR(MATCH(D76,Holidays,0),FALSE)</f>
        <v>0</v>
      </c>
      <c r="O76" t="b">
        <f t="shared" ref="O76" ca="1" si="531">IFERROR(MATCH(E76,Holidays,0),FALSE)</f>
        <v>0</v>
      </c>
      <c r="P76" t="b">
        <f t="shared" ref="P76" ca="1" si="532">IFERROR(MATCH(F76,Holidays,0),FALSE)</f>
        <v>0</v>
      </c>
      <c r="Q76" t="b">
        <f t="shared" ref="Q76" ca="1" si="533">IFERROR(MATCH(G76,Holidays,0),FALSE)</f>
        <v>0</v>
      </c>
    </row>
    <row r="77" spans="1:17" x14ac:dyDescent="0.25">
      <c r="A77" s="11">
        <f t="array" ref="A77:G77">DaysandWeeks+DATE(CalendarYear,MonthStart,1)-WEEKDAY(DATE(CalendarYear,MonthStart,1),1)+I77</f>
        <v>44451</v>
      </c>
      <c r="B77" s="11">
        <v>44452</v>
      </c>
      <c r="C77" s="11">
        <v>44453</v>
      </c>
      <c r="D77" s="11">
        <v>44454</v>
      </c>
      <c r="E77" s="11">
        <v>44455</v>
      </c>
      <c r="F77" s="11">
        <v>44456</v>
      </c>
      <c r="G77" s="11">
        <v>44457</v>
      </c>
      <c r="I77">
        <f t="shared" si="526"/>
        <v>106</v>
      </c>
      <c r="K77" t="b">
        <f t="shared" ref="K77" ca="1" si="534">IFERROR(MATCH(A77,Holidays,0),FALSE)</f>
        <v>0</v>
      </c>
      <c r="L77" t="b">
        <f t="shared" ref="L77" ca="1" si="535">IFERROR(MATCH(B77,Holidays,0),FALSE)</f>
        <v>0</v>
      </c>
      <c r="M77" t="b">
        <f t="shared" ref="M77" ca="1" si="536">IFERROR(MATCH(C77,Holidays,0),FALSE)</f>
        <v>0</v>
      </c>
      <c r="N77" t="b">
        <f t="shared" ref="N77" ca="1" si="537">IFERROR(MATCH(D77,Holidays,0),FALSE)</f>
        <v>0</v>
      </c>
      <c r="O77" t="b">
        <f t="shared" ref="O77" ca="1" si="538">IFERROR(MATCH(E77,Holidays,0),FALSE)</f>
        <v>0</v>
      </c>
      <c r="P77" t="b">
        <f t="shared" ref="P77" ca="1" si="539">IFERROR(MATCH(F77,Holidays,0),FALSE)</f>
        <v>0</v>
      </c>
      <c r="Q77" t="b">
        <f t="shared" ref="Q77" ca="1" si="540">IFERROR(MATCH(G77,Holidays,0),FALSE)</f>
        <v>0</v>
      </c>
    </row>
    <row r="78" spans="1:17" x14ac:dyDescent="0.25">
      <c r="A78" s="11">
        <f t="array" ref="A78:G78">DaysandWeeks+DATE(CalendarYear,MonthStart,1)-WEEKDAY(DATE(CalendarYear,MonthStart,1),1)+I78</f>
        <v>44451</v>
      </c>
      <c r="B78" s="11">
        <v>44452</v>
      </c>
      <c r="C78" s="11">
        <v>44453</v>
      </c>
      <c r="D78" s="11">
        <v>44454</v>
      </c>
      <c r="E78" s="11">
        <v>44455</v>
      </c>
      <c r="F78" s="11">
        <v>44456</v>
      </c>
      <c r="G78" s="11">
        <v>44457</v>
      </c>
      <c r="I78">
        <f t="shared" si="526"/>
        <v>106</v>
      </c>
      <c r="K78" t="b">
        <f t="shared" ref="K78" ca="1" si="541">IFERROR(MATCH(A78,Holidays,0),FALSE)</f>
        <v>0</v>
      </c>
      <c r="L78" t="b">
        <f t="shared" ref="L78" ca="1" si="542">IFERROR(MATCH(B78,Holidays,0),FALSE)</f>
        <v>0</v>
      </c>
      <c r="M78" t="b">
        <f t="shared" ref="M78" ca="1" si="543">IFERROR(MATCH(C78,Holidays,0),FALSE)</f>
        <v>0</v>
      </c>
      <c r="N78" t="b">
        <f t="shared" ref="N78" ca="1" si="544">IFERROR(MATCH(D78,Holidays,0),FALSE)</f>
        <v>0</v>
      </c>
      <c r="O78" t="b">
        <f t="shared" ref="O78" ca="1" si="545">IFERROR(MATCH(E78,Holidays,0),FALSE)</f>
        <v>0</v>
      </c>
      <c r="P78" t="b">
        <f t="shared" ref="P78" ca="1" si="546">IFERROR(MATCH(F78,Holidays,0),FALSE)</f>
        <v>0</v>
      </c>
      <c r="Q78" t="b">
        <f t="shared" ref="Q78" ca="1" si="547">IFERROR(MATCH(G78,Holidays,0),FALSE)</f>
        <v>0</v>
      </c>
    </row>
    <row r="79" spans="1:17" x14ac:dyDescent="0.25">
      <c r="A79" s="11">
        <f t="array" ref="A79:G79">DaysandWeeks+DATE(CalendarYear,MonthStart,1)-WEEKDAY(DATE(CalendarYear,MonthStart,1),1)+I79</f>
        <v>44451</v>
      </c>
      <c r="B79" s="11">
        <v>44452</v>
      </c>
      <c r="C79" s="11">
        <v>44453</v>
      </c>
      <c r="D79" s="11">
        <v>44454</v>
      </c>
      <c r="E79" s="11">
        <v>44455</v>
      </c>
      <c r="F79" s="11">
        <v>44456</v>
      </c>
      <c r="G79" s="11">
        <v>44457</v>
      </c>
      <c r="I79">
        <f t="shared" si="526"/>
        <v>106</v>
      </c>
      <c r="K79" t="b">
        <f t="shared" ref="K79" ca="1" si="548">IFERROR(MATCH(A79,Holidays,0),FALSE)</f>
        <v>0</v>
      </c>
      <c r="L79" t="b">
        <f t="shared" ref="L79" ca="1" si="549">IFERROR(MATCH(B79,Holidays,0),FALSE)</f>
        <v>0</v>
      </c>
      <c r="M79" t="b">
        <f t="shared" ref="M79" ca="1" si="550">IFERROR(MATCH(C79,Holidays,0),FALSE)</f>
        <v>0</v>
      </c>
      <c r="N79" t="b">
        <f t="shared" ref="N79" ca="1" si="551">IFERROR(MATCH(D79,Holidays,0),FALSE)</f>
        <v>0</v>
      </c>
      <c r="O79" t="b">
        <f t="shared" ref="O79" ca="1" si="552">IFERROR(MATCH(E79,Holidays,0),FALSE)</f>
        <v>0</v>
      </c>
      <c r="P79" t="b">
        <f t="shared" ref="P79" ca="1" si="553">IFERROR(MATCH(F79,Holidays,0),FALSE)</f>
        <v>0</v>
      </c>
      <c r="Q79" t="b">
        <f t="shared" ref="Q79" ca="1" si="554">IFERROR(MATCH(G79,Holidays,0),FALSE)</f>
        <v>0</v>
      </c>
    </row>
    <row r="80" spans="1:17" x14ac:dyDescent="0.25">
      <c r="A80" s="11">
        <f t="array" ref="A80:G80">DaysandWeeks+DATE(CalendarYear,MonthStart,1)-WEEKDAY(DATE(CalendarYear,MonthStart,1),1)+I80</f>
        <v>44451</v>
      </c>
      <c r="B80" s="11">
        <v>44452</v>
      </c>
      <c r="C80" s="11">
        <v>44453</v>
      </c>
      <c r="D80" s="11">
        <v>44454</v>
      </c>
      <c r="E80" s="11">
        <v>44455</v>
      </c>
      <c r="F80" s="11">
        <v>44456</v>
      </c>
      <c r="G80" s="11">
        <v>44457</v>
      </c>
      <c r="I80">
        <f t="shared" si="526"/>
        <v>106</v>
      </c>
      <c r="K80" t="b">
        <f t="shared" ref="K80" ca="1" si="555">IFERROR(MATCH(A80,Holidays,0),FALSE)</f>
        <v>0</v>
      </c>
      <c r="L80" t="b">
        <f t="shared" ref="L80" ca="1" si="556">IFERROR(MATCH(B80,Holidays,0),FALSE)</f>
        <v>0</v>
      </c>
      <c r="M80" t="b">
        <f t="shared" ref="M80" ca="1" si="557">IFERROR(MATCH(C80,Holidays,0),FALSE)</f>
        <v>0</v>
      </c>
      <c r="N80" t="b">
        <f t="shared" ref="N80" ca="1" si="558">IFERROR(MATCH(D80,Holidays,0),FALSE)</f>
        <v>0</v>
      </c>
      <c r="O80" t="b">
        <f t="shared" ref="O80" ca="1" si="559">IFERROR(MATCH(E80,Holidays,0),FALSE)</f>
        <v>0</v>
      </c>
      <c r="P80" t="b">
        <f t="shared" ref="P80" ca="1" si="560">IFERROR(MATCH(F80,Holidays,0),FALSE)</f>
        <v>0</v>
      </c>
      <c r="Q80" t="b">
        <f t="shared" ref="Q80" ca="1" si="561">IFERROR(MATCH(G80,Holidays,0),FALSE)</f>
        <v>0</v>
      </c>
    </row>
    <row r="81" spans="1:17" x14ac:dyDescent="0.25">
      <c r="A81" s="11">
        <f t="array" ref="A81:G81">DaysandWeeks+DATE(CalendarYear,MonthStart,1)-WEEKDAY(DATE(CalendarYear,MonthStart,1),1)+I81</f>
        <v>44458</v>
      </c>
      <c r="B81" s="11">
        <v>44459</v>
      </c>
      <c r="C81" s="11">
        <v>44460</v>
      </c>
      <c r="D81" s="11">
        <v>44461</v>
      </c>
      <c r="E81" s="11">
        <v>44462</v>
      </c>
      <c r="F81" s="11">
        <v>44463</v>
      </c>
      <c r="G81" s="11">
        <v>44464</v>
      </c>
      <c r="I81">
        <f t="shared" si="526"/>
        <v>113</v>
      </c>
      <c r="K81" t="b">
        <f t="shared" ref="K81" ca="1" si="562">IFERROR(MATCH(A81,Holidays,0),FALSE)</f>
        <v>0</v>
      </c>
      <c r="L81" t="b">
        <f t="shared" ref="L81" ca="1" si="563">IFERROR(MATCH(B81,Holidays,0),FALSE)</f>
        <v>0</v>
      </c>
      <c r="M81" t="b">
        <f t="shared" ref="M81" ca="1" si="564">IFERROR(MATCH(C81,Holidays,0),FALSE)</f>
        <v>0</v>
      </c>
      <c r="N81" t="b">
        <f t="shared" ref="N81" ca="1" si="565">IFERROR(MATCH(D81,Holidays,0),FALSE)</f>
        <v>0</v>
      </c>
      <c r="O81" t="b">
        <f t="shared" ref="O81" ca="1" si="566">IFERROR(MATCH(E81,Holidays,0),FALSE)</f>
        <v>0</v>
      </c>
      <c r="P81" t="b">
        <f t="shared" ref="P81" ca="1" si="567">IFERROR(MATCH(F81,Holidays,0),FALSE)</f>
        <v>0</v>
      </c>
      <c r="Q81" t="b">
        <f t="shared" ref="Q81" ca="1" si="568">IFERROR(MATCH(G81,Holidays,0),FALSE)</f>
        <v>0</v>
      </c>
    </row>
    <row r="82" spans="1:17" x14ac:dyDescent="0.25">
      <c r="A82" s="11">
        <f t="array" ref="A82:G82">DaysandWeeks+DATE(CalendarYear,MonthStart,1)-WEEKDAY(DATE(CalendarYear,MonthStart,1),1)+I82</f>
        <v>44458</v>
      </c>
      <c r="B82" s="11">
        <v>44459</v>
      </c>
      <c r="C82" s="11">
        <v>44460</v>
      </c>
      <c r="D82" s="11">
        <v>44461</v>
      </c>
      <c r="E82" s="11">
        <v>44462</v>
      </c>
      <c r="F82" s="11">
        <v>44463</v>
      </c>
      <c r="G82" s="11">
        <v>44464</v>
      </c>
      <c r="I82">
        <f t="shared" si="526"/>
        <v>113</v>
      </c>
      <c r="K82" t="b">
        <f t="shared" ref="K82" ca="1" si="569">IFERROR(MATCH(A82,Holidays,0),FALSE)</f>
        <v>0</v>
      </c>
      <c r="L82" t="b">
        <f t="shared" ref="L82" ca="1" si="570">IFERROR(MATCH(B82,Holidays,0),FALSE)</f>
        <v>0</v>
      </c>
      <c r="M82" t="b">
        <f t="shared" ref="M82" ca="1" si="571">IFERROR(MATCH(C82,Holidays,0),FALSE)</f>
        <v>0</v>
      </c>
      <c r="N82" t="b">
        <f t="shared" ref="N82" ca="1" si="572">IFERROR(MATCH(D82,Holidays,0),FALSE)</f>
        <v>0</v>
      </c>
      <c r="O82" t="b">
        <f t="shared" ref="O82" ca="1" si="573">IFERROR(MATCH(E82,Holidays,0),FALSE)</f>
        <v>0</v>
      </c>
      <c r="P82" t="b">
        <f t="shared" ref="P82" ca="1" si="574">IFERROR(MATCH(F82,Holidays,0),FALSE)</f>
        <v>0</v>
      </c>
      <c r="Q82" t="b">
        <f t="shared" ref="Q82" ca="1" si="575">IFERROR(MATCH(G82,Holidays,0),FALSE)</f>
        <v>0</v>
      </c>
    </row>
    <row r="83" spans="1:17" x14ac:dyDescent="0.25">
      <c r="A83" s="11">
        <f t="array" ref="A83:G83">DaysandWeeks+DATE(CalendarYear,MonthStart,1)-WEEKDAY(DATE(CalendarYear,MonthStart,1),1)+I83</f>
        <v>44458</v>
      </c>
      <c r="B83" s="11">
        <v>44459</v>
      </c>
      <c r="C83" s="11">
        <v>44460</v>
      </c>
      <c r="D83" s="11">
        <v>44461</v>
      </c>
      <c r="E83" s="11">
        <v>44462</v>
      </c>
      <c r="F83" s="11">
        <v>44463</v>
      </c>
      <c r="G83" s="11">
        <v>44464</v>
      </c>
      <c r="I83">
        <f t="shared" si="526"/>
        <v>113</v>
      </c>
      <c r="K83" t="b">
        <f t="shared" ref="K83" ca="1" si="576">IFERROR(MATCH(A83,Holidays,0),FALSE)</f>
        <v>0</v>
      </c>
      <c r="L83" t="b">
        <f t="shared" ref="L83" ca="1" si="577">IFERROR(MATCH(B83,Holidays,0),FALSE)</f>
        <v>0</v>
      </c>
      <c r="M83" t="b">
        <f t="shared" ref="M83" ca="1" si="578">IFERROR(MATCH(C83,Holidays,0),FALSE)</f>
        <v>0</v>
      </c>
      <c r="N83" t="b">
        <f t="shared" ref="N83" ca="1" si="579">IFERROR(MATCH(D83,Holidays,0),FALSE)</f>
        <v>0</v>
      </c>
      <c r="O83" t="b">
        <f t="shared" ref="O83" ca="1" si="580">IFERROR(MATCH(E83,Holidays,0),FALSE)</f>
        <v>0</v>
      </c>
      <c r="P83" t="b">
        <f t="shared" ref="P83" ca="1" si="581">IFERROR(MATCH(F83,Holidays,0),FALSE)</f>
        <v>0</v>
      </c>
      <c r="Q83" t="b">
        <f t="shared" ref="Q83" ca="1" si="582">IFERROR(MATCH(G83,Holidays,0),FALSE)</f>
        <v>0</v>
      </c>
    </row>
    <row r="84" spans="1:17" x14ac:dyDescent="0.25">
      <c r="A84" s="11">
        <f t="array" ref="A84:G84">DaysandWeeks+DATE(CalendarYear,MonthStart,1)-WEEKDAY(DATE(CalendarYear,MonthStart,1),1)+I84</f>
        <v>44458</v>
      </c>
      <c r="B84" s="11">
        <v>44459</v>
      </c>
      <c r="C84" s="11">
        <v>44460</v>
      </c>
      <c r="D84" s="11">
        <v>44461</v>
      </c>
      <c r="E84" s="11">
        <v>44462</v>
      </c>
      <c r="F84" s="11">
        <v>44463</v>
      </c>
      <c r="G84" s="11">
        <v>44464</v>
      </c>
      <c r="I84">
        <f t="shared" si="526"/>
        <v>113</v>
      </c>
      <c r="K84" t="b">
        <f t="shared" ref="K84" ca="1" si="583">IFERROR(MATCH(A84,Holidays,0),FALSE)</f>
        <v>0</v>
      </c>
      <c r="L84" t="b">
        <f t="shared" ref="L84" ca="1" si="584">IFERROR(MATCH(B84,Holidays,0),FALSE)</f>
        <v>0</v>
      </c>
      <c r="M84" t="b">
        <f t="shared" ref="M84" ca="1" si="585">IFERROR(MATCH(C84,Holidays,0),FALSE)</f>
        <v>0</v>
      </c>
      <c r="N84" t="b">
        <f t="shared" ref="N84" ca="1" si="586">IFERROR(MATCH(D84,Holidays,0),FALSE)</f>
        <v>0</v>
      </c>
      <c r="O84" t="b">
        <f t="shared" ref="O84" ca="1" si="587">IFERROR(MATCH(E84,Holidays,0),FALSE)</f>
        <v>0</v>
      </c>
      <c r="P84" t="b">
        <f t="shared" ref="P84" ca="1" si="588">IFERROR(MATCH(F84,Holidays,0),FALSE)</f>
        <v>0</v>
      </c>
      <c r="Q84" t="b">
        <f t="shared" ref="Q84" ca="1" si="589">IFERROR(MATCH(G84,Holidays,0),FALSE)</f>
        <v>0</v>
      </c>
    </row>
    <row r="85" spans="1:17" x14ac:dyDescent="0.25">
      <c r="A85" s="11">
        <f t="array" ref="A85:G85">DaysandWeeks+DATE(CalendarYear,MonthStart,1)-WEEKDAY(DATE(CalendarYear,MonthStart,1),1)+I85</f>
        <v>44458</v>
      </c>
      <c r="B85" s="11">
        <v>44459</v>
      </c>
      <c r="C85" s="11">
        <v>44460</v>
      </c>
      <c r="D85" s="11">
        <v>44461</v>
      </c>
      <c r="E85" s="11">
        <v>44462</v>
      </c>
      <c r="F85" s="11">
        <v>44463</v>
      </c>
      <c r="G85" s="11">
        <v>44464</v>
      </c>
      <c r="I85">
        <f t="shared" si="526"/>
        <v>113</v>
      </c>
      <c r="K85" t="b">
        <f t="shared" ref="K85" ca="1" si="590">IFERROR(MATCH(A85,Holidays,0),FALSE)</f>
        <v>0</v>
      </c>
      <c r="L85" t="b">
        <f t="shared" ref="L85" ca="1" si="591">IFERROR(MATCH(B85,Holidays,0),FALSE)</f>
        <v>0</v>
      </c>
      <c r="M85" t="b">
        <f t="shared" ref="M85" ca="1" si="592">IFERROR(MATCH(C85,Holidays,0),FALSE)</f>
        <v>0</v>
      </c>
      <c r="N85" t="b">
        <f t="shared" ref="N85" ca="1" si="593">IFERROR(MATCH(D85,Holidays,0),FALSE)</f>
        <v>0</v>
      </c>
      <c r="O85" t="b">
        <f t="shared" ref="O85" ca="1" si="594">IFERROR(MATCH(E85,Holidays,0),FALSE)</f>
        <v>0</v>
      </c>
      <c r="P85" t="b">
        <f t="shared" ref="P85" ca="1" si="595">IFERROR(MATCH(F85,Holidays,0),FALSE)</f>
        <v>0</v>
      </c>
      <c r="Q85" t="b">
        <f t="shared" ref="Q85" ca="1" si="596">IFERROR(MATCH(G85,Holidays,0),FALSE)</f>
        <v>0</v>
      </c>
    </row>
    <row r="86" spans="1:17" x14ac:dyDescent="0.25">
      <c r="A86" s="11">
        <f t="array" ref="A86:G86">DaysandWeeks+DATE(CalendarYear,MonthStart,1)-WEEKDAY(DATE(CalendarYear,MonthStart,1),1)+I86</f>
        <v>44465</v>
      </c>
      <c r="B86" s="11">
        <v>44466</v>
      </c>
      <c r="C86" s="11">
        <v>44467</v>
      </c>
      <c r="D86" s="11">
        <v>44468</v>
      </c>
      <c r="E86" s="11">
        <v>44469</v>
      </c>
      <c r="F86" s="11">
        <v>44470</v>
      </c>
      <c r="G86" s="11">
        <v>44471</v>
      </c>
      <c r="I86">
        <f t="shared" si="526"/>
        <v>120</v>
      </c>
      <c r="K86" t="b">
        <f t="shared" ref="K86" ca="1" si="597">IFERROR(MATCH(A86,Holidays,0),FALSE)</f>
        <v>0</v>
      </c>
      <c r="L86" t="b">
        <f t="shared" ref="L86" ca="1" si="598">IFERROR(MATCH(B86,Holidays,0),FALSE)</f>
        <v>0</v>
      </c>
      <c r="M86" t="b">
        <f t="shared" ref="M86" ca="1" si="599">IFERROR(MATCH(C86,Holidays,0),FALSE)</f>
        <v>0</v>
      </c>
      <c r="N86" t="b">
        <f t="shared" ref="N86" ca="1" si="600">IFERROR(MATCH(D86,Holidays,0),FALSE)</f>
        <v>0</v>
      </c>
      <c r="O86" t="b">
        <f t="shared" ref="O86" ca="1" si="601">IFERROR(MATCH(E86,Holidays,0),FALSE)</f>
        <v>0</v>
      </c>
      <c r="P86" t="b">
        <f t="shared" ref="P86" ca="1" si="602">IFERROR(MATCH(F86,Holidays,0),FALSE)</f>
        <v>0</v>
      </c>
      <c r="Q86" t="b">
        <f t="shared" ref="Q86" ca="1" si="603">IFERROR(MATCH(G86,Holidays,0),FALSE)</f>
        <v>0</v>
      </c>
    </row>
    <row r="87" spans="1:17" x14ac:dyDescent="0.25">
      <c r="A87" s="11">
        <f t="array" ref="A87:G87">DaysandWeeks+DATE(CalendarYear,MonthStart,1)-WEEKDAY(DATE(CalendarYear,MonthStart,1),1)+I87</f>
        <v>44465</v>
      </c>
      <c r="B87" s="11">
        <v>44466</v>
      </c>
      <c r="C87" s="11">
        <v>44467</v>
      </c>
      <c r="D87" s="11">
        <v>44468</v>
      </c>
      <c r="E87" s="11">
        <v>44469</v>
      </c>
      <c r="F87" s="11">
        <v>44470</v>
      </c>
      <c r="G87" s="11">
        <v>44471</v>
      </c>
      <c r="I87">
        <f t="shared" si="526"/>
        <v>120</v>
      </c>
      <c r="K87" t="b">
        <f t="shared" ref="K87" ca="1" si="604">IFERROR(MATCH(A87,Holidays,0),FALSE)</f>
        <v>0</v>
      </c>
      <c r="L87" t="b">
        <f t="shared" ref="L87" ca="1" si="605">IFERROR(MATCH(B87,Holidays,0),FALSE)</f>
        <v>0</v>
      </c>
      <c r="M87" t="b">
        <f t="shared" ref="M87" ca="1" si="606">IFERROR(MATCH(C87,Holidays,0),FALSE)</f>
        <v>0</v>
      </c>
      <c r="N87" t="b">
        <f t="shared" ref="N87" ca="1" si="607">IFERROR(MATCH(D87,Holidays,0),FALSE)</f>
        <v>0</v>
      </c>
      <c r="O87" t="b">
        <f t="shared" ref="O87" ca="1" si="608">IFERROR(MATCH(E87,Holidays,0),FALSE)</f>
        <v>0</v>
      </c>
      <c r="P87" t="b">
        <f t="shared" ref="P87" ca="1" si="609">IFERROR(MATCH(F87,Holidays,0),FALSE)</f>
        <v>0</v>
      </c>
      <c r="Q87" t="b">
        <f t="shared" ref="Q87" ca="1" si="610">IFERROR(MATCH(G87,Holidays,0),FALSE)</f>
        <v>0</v>
      </c>
    </row>
    <row r="88" spans="1:17" x14ac:dyDescent="0.25">
      <c r="A88" s="11">
        <f t="array" ref="A88:G88">DaysandWeeks+DATE(CalendarYear,MonthStart,1)-WEEKDAY(DATE(CalendarYear,MonthStart,1),1)+I88</f>
        <v>44465</v>
      </c>
      <c r="B88" s="11">
        <v>44466</v>
      </c>
      <c r="C88" s="11">
        <v>44467</v>
      </c>
      <c r="D88" s="11">
        <v>44468</v>
      </c>
      <c r="E88" s="11">
        <v>44469</v>
      </c>
      <c r="F88" s="11">
        <v>44470</v>
      </c>
      <c r="G88" s="11">
        <v>44471</v>
      </c>
      <c r="I88">
        <f t="shared" si="526"/>
        <v>120</v>
      </c>
      <c r="K88" t="b">
        <f t="shared" ref="K88" ca="1" si="611">IFERROR(MATCH(A88,Holidays,0),FALSE)</f>
        <v>0</v>
      </c>
      <c r="L88" t="b">
        <f t="shared" ref="L88" ca="1" si="612">IFERROR(MATCH(B88,Holidays,0),FALSE)</f>
        <v>0</v>
      </c>
      <c r="M88" t="b">
        <f t="shared" ref="M88" ca="1" si="613">IFERROR(MATCH(C88,Holidays,0),FALSE)</f>
        <v>0</v>
      </c>
      <c r="N88" t="b">
        <f t="shared" ref="N88" ca="1" si="614">IFERROR(MATCH(D88,Holidays,0),FALSE)</f>
        <v>0</v>
      </c>
      <c r="O88" t="b">
        <f t="shared" ref="O88" ca="1" si="615">IFERROR(MATCH(E88,Holidays,0),FALSE)</f>
        <v>0</v>
      </c>
      <c r="P88" t="b">
        <f t="shared" ref="P88" ca="1" si="616">IFERROR(MATCH(F88,Holidays,0),FALSE)</f>
        <v>0</v>
      </c>
      <c r="Q88" t="b">
        <f t="shared" ref="Q88" ca="1" si="617">IFERROR(MATCH(G88,Holidays,0),FALSE)</f>
        <v>0</v>
      </c>
    </row>
    <row r="89" spans="1:17" x14ac:dyDescent="0.25">
      <c r="A89" s="11">
        <f t="array" ref="A89:G89">DaysandWeeks+DATE(CalendarYear,MonthStart,1)-WEEKDAY(DATE(CalendarYear,MonthStart,1),1)+I89</f>
        <v>44465</v>
      </c>
      <c r="B89" s="11">
        <v>44466</v>
      </c>
      <c r="C89" s="11">
        <v>44467</v>
      </c>
      <c r="D89" s="11">
        <v>44468</v>
      </c>
      <c r="E89" s="11">
        <v>44469</v>
      </c>
      <c r="F89" s="11">
        <v>44470</v>
      </c>
      <c r="G89" s="11">
        <v>44471</v>
      </c>
      <c r="I89">
        <f t="shared" si="526"/>
        <v>120</v>
      </c>
      <c r="K89" t="b">
        <f t="shared" ref="K89" ca="1" si="618">IFERROR(MATCH(A89,Holidays,0),FALSE)</f>
        <v>0</v>
      </c>
      <c r="L89" t="b">
        <f t="shared" ref="L89" ca="1" si="619">IFERROR(MATCH(B89,Holidays,0),FALSE)</f>
        <v>0</v>
      </c>
      <c r="M89" t="b">
        <f t="shared" ref="M89" ca="1" si="620">IFERROR(MATCH(C89,Holidays,0),FALSE)</f>
        <v>0</v>
      </c>
      <c r="N89" t="b">
        <f t="shared" ref="N89" ca="1" si="621">IFERROR(MATCH(D89,Holidays,0),FALSE)</f>
        <v>0</v>
      </c>
      <c r="O89" t="b">
        <f t="shared" ref="O89" ca="1" si="622">IFERROR(MATCH(E89,Holidays,0),FALSE)</f>
        <v>0</v>
      </c>
      <c r="P89" t="b">
        <f t="shared" ref="P89" ca="1" si="623">IFERROR(MATCH(F89,Holidays,0),FALSE)</f>
        <v>0</v>
      </c>
      <c r="Q89" t="b">
        <f t="shared" ref="Q89" ca="1" si="624">IFERROR(MATCH(G89,Holidays,0),FALSE)</f>
        <v>0</v>
      </c>
    </row>
    <row r="90" spans="1:17" x14ac:dyDescent="0.25">
      <c r="A90" s="11">
        <f t="array" ref="A90:G90">DaysandWeeks+DATE(CalendarYear,MonthStart,1)-WEEKDAY(DATE(CalendarYear,MonthStart,1),1)+I90</f>
        <v>44465</v>
      </c>
      <c r="B90" s="11">
        <v>44466</v>
      </c>
      <c r="C90" s="11">
        <v>44467</v>
      </c>
      <c r="D90" s="11">
        <v>44468</v>
      </c>
      <c r="E90" s="11">
        <v>44469</v>
      </c>
      <c r="F90" s="11">
        <v>44470</v>
      </c>
      <c r="G90" s="11">
        <v>44471</v>
      </c>
      <c r="I90">
        <f t="shared" si="526"/>
        <v>120</v>
      </c>
      <c r="K90" t="b">
        <f t="shared" ref="K90" ca="1" si="625">IFERROR(MATCH(A90,Holidays,0),FALSE)</f>
        <v>0</v>
      </c>
      <c r="L90" t="b">
        <f t="shared" ref="L90" ca="1" si="626">IFERROR(MATCH(B90,Holidays,0),FALSE)</f>
        <v>0</v>
      </c>
      <c r="M90" t="b">
        <f t="shared" ref="M90" ca="1" si="627">IFERROR(MATCH(C90,Holidays,0),FALSE)</f>
        <v>0</v>
      </c>
      <c r="N90" t="b">
        <f t="shared" ref="N90" ca="1" si="628">IFERROR(MATCH(D90,Holidays,0),FALSE)</f>
        <v>0</v>
      </c>
      <c r="O90" t="b">
        <f t="shared" ref="O90" ca="1" si="629">IFERROR(MATCH(E90,Holidays,0),FALSE)</f>
        <v>0</v>
      </c>
      <c r="P90" t="b">
        <f t="shared" ref="P90" ca="1" si="630">IFERROR(MATCH(F90,Holidays,0),FALSE)</f>
        <v>0</v>
      </c>
      <c r="Q90" t="b">
        <f t="shared" ref="Q90" ca="1" si="631">IFERROR(MATCH(G90,Holidays,0),FALSE)</f>
        <v>0</v>
      </c>
    </row>
    <row r="91" spans="1:17" x14ac:dyDescent="0.25">
      <c r="A91" s="11">
        <f t="array" ref="A91:G91">DaysandWeeks+DATE(CalendarYear,MonthStart,1)-WEEKDAY(DATE(CalendarYear,MonthStart,1),1)+I91</f>
        <v>44472</v>
      </c>
      <c r="B91" s="11">
        <v>44473</v>
      </c>
      <c r="C91" s="11">
        <v>44474</v>
      </c>
      <c r="D91" s="11">
        <v>44475</v>
      </c>
      <c r="E91" s="11">
        <v>44476</v>
      </c>
      <c r="F91" s="11">
        <v>44477</v>
      </c>
      <c r="G91" s="11">
        <v>44478</v>
      </c>
      <c r="I91">
        <f t="shared" si="526"/>
        <v>127</v>
      </c>
      <c r="K91" t="b">
        <f t="shared" ref="K91" ca="1" si="632">IFERROR(MATCH(A91,Holidays,0),FALSE)</f>
        <v>0</v>
      </c>
      <c r="L91" t="b">
        <f t="shared" ref="L91" ca="1" si="633">IFERROR(MATCH(B91,Holidays,0),FALSE)</f>
        <v>0</v>
      </c>
      <c r="M91" t="b">
        <f t="shared" ref="M91" ca="1" si="634">IFERROR(MATCH(C91,Holidays,0),FALSE)</f>
        <v>0</v>
      </c>
      <c r="N91" t="b">
        <f t="shared" ref="N91" ca="1" si="635">IFERROR(MATCH(D91,Holidays,0),FALSE)</f>
        <v>0</v>
      </c>
      <c r="O91" t="b">
        <f t="shared" ref="O91" ca="1" si="636">IFERROR(MATCH(E91,Holidays,0),FALSE)</f>
        <v>0</v>
      </c>
      <c r="P91" t="b">
        <f t="shared" ref="P91" ca="1" si="637">IFERROR(MATCH(F91,Holidays,0),FALSE)</f>
        <v>0</v>
      </c>
      <c r="Q91" t="b">
        <f t="shared" ref="Q91" ca="1" si="638">IFERROR(MATCH(G91,Holidays,0),FALSE)</f>
        <v>0</v>
      </c>
    </row>
    <row r="92" spans="1:17" x14ac:dyDescent="0.25">
      <c r="A92" s="11">
        <f t="array" ref="A92:G92">DaysandWeeks+DATE(CalendarYear,MonthStart,1)-WEEKDAY(DATE(CalendarYear,MonthStart,1),1)+I92</f>
        <v>44472</v>
      </c>
      <c r="B92" s="11">
        <v>44473</v>
      </c>
      <c r="C92" s="11">
        <v>44474</v>
      </c>
      <c r="D92" s="11">
        <v>44475</v>
      </c>
      <c r="E92" s="11">
        <v>44476</v>
      </c>
      <c r="F92" s="11">
        <v>44477</v>
      </c>
      <c r="G92" s="11">
        <v>44478</v>
      </c>
      <c r="I92">
        <f t="shared" si="526"/>
        <v>127</v>
      </c>
      <c r="K92" t="b">
        <f t="shared" ref="K92" ca="1" si="639">IFERROR(MATCH(A92,Holidays,0),FALSE)</f>
        <v>0</v>
      </c>
      <c r="L92" t="b">
        <f t="shared" ref="L92" ca="1" si="640">IFERROR(MATCH(B92,Holidays,0),FALSE)</f>
        <v>0</v>
      </c>
      <c r="M92" t="b">
        <f t="shared" ref="M92" ca="1" si="641">IFERROR(MATCH(C92,Holidays,0),FALSE)</f>
        <v>0</v>
      </c>
      <c r="N92" t="b">
        <f t="shared" ref="N92" ca="1" si="642">IFERROR(MATCH(D92,Holidays,0),FALSE)</f>
        <v>0</v>
      </c>
      <c r="O92" t="b">
        <f t="shared" ref="O92" ca="1" si="643">IFERROR(MATCH(E92,Holidays,0),FALSE)</f>
        <v>0</v>
      </c>
      <c r="P92" t="b">
        <f t="shared" ref="P92" ca="1" si="644">IFERROR(MATCH(F92,Holidays,0),FALSE)</f>
        <v>0</v>
      </c>
      <c r="Q92" t="b">
        <f t="shared" ref="Q92" ca="1" si="645">IFERROR(MATCH(G92,Holidays,0),FALSE)</f>
        <v>0</v>
      </c>
    </row>
    <row r="93" spans="1:17" x14ac:dyDescent="0.25">
      <c r="A93" s="11">
        <f t="array" ref="A93:G93">DaysandWeeks+DATE(CalendarYear,MonthStart,1)-WEEKDAY(DATE(CalendarYear,MonthStart,1),1)+I93</f>
        <v>44472</v>
      </c>
      <c r="B93" s="11">
        <v>44473</v>
      </c>
      <c r="C93" s="11">
        <v>44474</v>
      </c>
      <c r="D93" s="11">
        <v>44475</v>
      </c>
      <c r="E93" s="11">
        <v>44476</v>
      </c>
      <c r="F93" s="11">
        <v>44477</v>
      </c>
      <c r="G93" s="11">
        <v>44478</v>
      </c>
      <c r="I93">
        <f t="shared" si="526"/>
        <v>127</v>
      </c>
      <c r="K93" t="b">
        <f t="shared" ref="K93" ca="1" si="646">IFERROR(MATCH(A93,Holidays,0),FALSE)</f>
        <v>0</v>
      </c>
      <c r="L93" t="b">
        <f t="shared" ref="L93" ca="1" si="647">IFERROR(MATCH(B93,Holidays,0),FALSE)</f>
        <v>0</v>
      </c>
      <c r="M93" t="b">
        <f t="shared" ref="M93" ca="1" si="648">IFERROR(MATCH(C93,Holidays,0),FALSE)</f>
        <v>0</v>
      </c>
      <c r="N93" t="b">
        <f t="shared" ref="N93" ca="1" si="649">IFERROR(MATCH(D93,Holidays,0),FALSE)</f>
        <v>0</v>
      </c>
      <c r="O93" t="b">
        <f t="shared" ref="O93" ca="1" si="650">IFERROR(MATCH(E93,Holidays,0),FALSE)</f>
        <v>0</v>
      </c>
      <c r="P93" t="b">
        <f t="shared" ref="P93" ca="1" si="651">IFERROR(MATCH(F93,Holidays,0),FALSE)</f>
        <v>0</v>
      </c>
      <c r="Q93" t="b">
        <f t="shared" ref="Q93" ca="1" si="652">IFERROR(MATCH(G93,Holidays,0),FALSE)</f>
        <v>0</v>
      </c>
    </row>
    <row r="94" spans="1:17" x14ac:dyDescent="0.25">
      <c r="A94" s="11">
        <f t="array" ref="A94:G94">DaysandWeeks+DATE(CalendarYear,MonthStart,1)-WEEKDAY(DATE(CalendarYear,MonthStart,1),1)+I94</f>
        <v>44472</v>
      </c>
      <c r="B94" s="11">
        <v>44473</v>
      </c>
      <c r="C94" s="11">
        <v>44474</v>
      </c>
      <c r="D94" s="11">
        <v>44475</v>
      </c>
      <c r="E94" s="11">
        <v>44476</v>
      </c>
      <c r="F94" s="11">
        <v>44477</v>
      </c>
      <c r="G94" s="11">
        <v>44478</v>
      </c>
      <c r="I94">
        <f t="shared" si="526"/>
        <v>127</v>
      </c>
      <c r="K94" t="b">
        <f t="shared" ref="K94" ca="1" si="653">IFERROR(MATCH(A94,Holidays,0),FALSE)</f>
        <v>0</v>
      </c>
      <c r="L94" t="b">
        <f t="shared" ref="L94" ca="1" si="654">IFERROR(MATCH(B94,Holidays,0),FALSE)</f>
        <v>0</v>
      </c>
      <c r="M94" t="b">
        <f t="shared" ref="M94" ca="1" si="655">IFERROR(MATCH(C94,Holidays,0),FALSE)</f>
        <v>0</v>
      </c>
      <c r="N94" t="b">
        <f t="shared" ref="N94" ca="1" si="656">IFERROR(MATCH(D94,Holidays,0),FALSE)</f>
        <v>0</v>
      </c>
      <c r="O94" t="b">
        <f t="shared" ref="O94" ca="1" si="657">IFERROR(MATCH(E94,Holidays,0),FALSE)</f>
        <v>0</v>
      </c>
      <c r="P94" t="b">
        <f t="shared" ref="P94" ca="1" si="658">IFERROR(MATCH(F94,Holidays,0),FALSE)</f>
        <v>0</v>
      </c>
      <c r="Q94" t="b">
        <f t="shared" ref="Q94" ca="1" si="659">IFERROR(MATCH(G94,Holidays,0),FALSE)</f>
        <v>0</v>
      </c>
    </row>
    <row r="95" spans="1:17" x14ac:dyDescent="0.25">
      <c r="A95" s="11">
        <f t="array" ref="A95:G95">DaysandWeeks+DATE(CalendarYear,MonthStart,1)-WEEKDAY(DATE(CalendarYear,MonthStart,1),1)+I95</f>
        <v>44472</v>
      </c>
      <c r="B95" s="11">
        <v>44473</v>
      </c>
      <c r="C95" s="11">
        <v>44474</v>
      </c>
      <c r="D95" s="11">
        <v>44475</v>
      </c>
      <c r="E95" s="11">
        <v>44476</v>
      </c>
      <c r="F95" s="11">
        <v>44477</v>
      </c>
      <c r="G95" s="11">
        <v>44478</v>
      </c>
      <c r="I95">
        <f t="shared" si="526"/>
        <v>127</v>
      </c>
      <c r="K95" t="b">
        <f t="shared" ref="K95" ca="1" si="660">IFERROR(MATCH(A95,Holidays,0),FALSE)</f>
        <v>0</v>
      </c>
      <c r="L95" t="b">
        <f t="shared" ref="L95" ca="1" si="661">IFERROR(MATCH(B95,Holidays,0),FALSE)</f>
        <v>0</v>
      </c>
      <c r="M95" t="b">
        <f t="shared" ref="M95" ca="1" si="662">IFERROR(MATCH(C95,Holidays,0),FALSE)</f>
        <v>0</v>
      </c>
      <c r="N95" t="b">
        <f t="shared" ref="N95" ca="1" si="663">IFERROR(MATCH(D95,Holidays,0),FALSE)</f>
        <v>0</v>
      </c>
      <c r="O95" t="b">
        <f t="shared" ref="O95" ca="1" si="664">IFERROR(MATCH(E95,Holidays,0),FALSE)</f>
        <v>0</v>
      </c>
      <c r="P95" t="b">
        <f t="shared" ref="P95" ca="1" si="665">IFERROR(MATCH(F95,Holidays,0),FALSE)</f>
        <v>0</v>
      </c>
      <c r="Q95" t="b">
        <f t="shared" ref="Q95" ca="1" si="666">IFERROR(MATCH(G95,Holidays,0),FALSE)</f>
        <v>0</v>
      </c>
    </row>
    <row r="96" spans="1:17" x14ac:dyDescent="0.25">
      <c r="A96" s="11">
        <f t="array" ref="A96:G96">DaysandWeeks+DATE(CalendarYear,MonthStart,1)-WEEKDAY(DATE(CalendarYear,MonthStart,1),1)+I96</f>
        <v>44479</v>
      </c>
      <c r="B96" s="11">
        <v>44480</v>
      </c>
      <c r="C96" s="11">
        <v>44481</v>
      </c>
      <c r="D96" s="11">
        <v>44482</v>
      </c>
      <c r="E96" s="11">
        <v>44483</v>
      </c>
      <c r="F96" s="11">
        <v>44484</v>
      </c>
      <c r="G96" s="11">
        <v>44485</v>
      </c>
      <c r="I96">
        <f t="shared" si="526"/>
        <v>134</v>
      </c>
      <c r="K96" t="b">
        <f t="shared" ref="K96" ca="1" si="667">IFERROR(MATCH(A96,Holidays,0),FALSE)</f>
        <v>0</v>
      </c>
      <c r="L96" t="b">
        <f t="shared" ref="L96" ca="1" si="668">IFERROR(MATCH(B96,Holidays,0),FALSE)</f>
        <v>0</v>
      </c>
      <c r="M96" t="b">
        <f t="shared" ref="M96" ca="1" si="669">IFERROR(MATCH(C96,Holidays,0),FALSE)</f>
        <v>0</v>
      </c>
      <c r="N96" t="b">
        <f t="shared" ref="N96" ca="1" si="670">IFERROR(MATCH(D96,Holidays,0),FALSE)</f>
        <v>0</v>
      </c>
      <c r="O96" t="b">
        <f t="shared" ref="O96" ca="1" si="671">IFERROR(MATCH(E96,Holidays,0),FALSE)</f>
        <v>0</v>
      </c>
      <c r="P96" t="b">
        <f t="shared" ref="P96" ca="1" si="672">IFERROR(MATCH(F96,Holidays,0),FALSE)</f>
        <v>0</v>
      </c>
      <c r="Q96" t="b">
        <f t="shared" ref="Q96" ca="1" si="673">IFERROR(MATCH(G96,Holidays,0),FALSE)</f>
        <v>0</v>
      </c>
    </row>
    <row r="97" spans="1:17" x14ac:dyDescent="0.25">
      <c r="A97" s="11">
        <f t="array" ref="A97:G97">DaysandWeeks+DATE(CalendarYear,MonthStart,1)-WEEKDAY(DATE(CalendarYear,MonthStart,1),1)+I97</f>
        <v>44479</v>
      </c>
      <c r="B97" s="11">
        <v>44480</v>
      </c>
      <c r="C97" s="11">
        <v>44481</v>
      </c>
      <c r="D97" s="11">
        <v>44482</v>
      </c>
      <c r="E97" s="11">
        <v>44483</v>
      </c>
      <c r="F97" s="11">
        <v>44484</v>
      </c>
      <c r="G97" s="11">
        <v>44485</v>
      </c>
      <c r="I97">
        <f t="shared" si="526"/>
        <v>134</v>
      </c>
      <c r="K97" t="b">
        <f t="shared" ref="K97" ca="1" si="674">IFERROR(MATCH(A97,Holidays,0),FALSE)</f>
        <v>0</v>
      </c>
      <c r="L97" t="b">
        <f t="shared" ref="L97" ca="1" si="675">IFERROR(MATCH(B97,Holidays,0),FALSE)</f>
        <v>0</v>
      </c>
      <c r="M97" t="b">
        <f t="shared" ref="M97" ca="1" si="676">IFERROR(MATCH(C97,Holidays,0),FALSE)</f>
        <v>0</v>
      </c>
      <c r="N97" t="b">
        <f t="shared" ref="N97" ca="1" si="677">IFERROR(MATCH(D97,Holidays,0),FALSE)</f>
        <v>0</v>
      </c>
      <c r="O97" t="b">
        <f t="shared" ref="O97" ca="1" si="678">IFERROR(MATCH(E97,Holidays,0),FALSE)</f>
        <v>0</v>
      </c>
      <c r="P97" t="b">
        <f t="shared" ref="P97" ca="1" si="679">IFERROR(MATCH(F97,Holidays,0),FALSE)</f>
        <v>0</v>
      </c>
      <c r="Q97" t="b">
        <f t="shared" ref="Q97" ca="1" si="680">IFERROR(MATCH(G97,Holidays,0),FALSE)</f>
        <v>0</v>
      </c>
    </row>
    <row r="98" spans="1:17" x14ac:dyDescent="0.25">
      <c r="A98" s="11">
        <f t="array" ref="A98:G98">DaysandWeeks+DATE(CalendarYear,MonthStart,1)-WEEKDAY(DATE(CalendarYear,MonthStart,1),1)+I98</f>
        <v>44479</v>
      </c>
      <c r="B98" s="11">
        <v>44480</v>
      </c>
      <c r="C98" s="11">
        <v>44481</v>
      </c>
      <c r="D98" s="11">
        <v>44482</v>
      </c>
      <c r="E98" s="11">
        <v>44483</v>
      </c>
      <c r="F98" s="11">
        <v>44484</v>
      </c>
      <c r="G98" s="11">
        <v>44485</v>
      </c>
      <c r="I98">
        <f t="shared" si="526"/>
        <v>134</v>
      </c>
      <c r="K98" t="b">
        <f t="shared" ref="K98" ca="1" si="681">IFERROR(MATCH(A98,Holidays,0),FALSE)</f>
        <v>0</v>
      </c>
      <c r="L98" t="b">
        <f t="shared" ref="L98" ca="1" si="682">IFERROR(MATCH(B98,Holidays,0),FALSE)</f>
        <v>0</v>
      </c>
      <c r="M98" t="b">
        <f t="shared" ref="M98" ca="1" si="683">IFERROR(MATCH(C98,Holidays,0),FALSE)</f>
        <v>0</v>
      </c>
      <c r="N98" t="b">
        <f t="shared" ref="N98" ca="1" si="684">IFERROR(MATCH(D98,Holidays,0),FALSE)</f>
        <v>0</v>
      </c>
      <c r="O98" t="b">
        <f t="shared" ref="O98" ca="1" si="685">IFERROR(MATCH(E98,Holidays,0),FALSE)</f>
        <v>0</v>
      </c>
      <c r="P98" t="b">
        <f t="shared" ref="P98" ca="1" si="686">IFERROR(MATCH(F98,Holidays,0),FALSE)</f>
        <v>0</v>
      </c>
      <c r="Q98" t="b">
        <f t="shared" ref="Q98" ca="1" si="687">IFERROR(MATCH(G98,Holidays,0),FALSE)</f>
        <v>0</v>
      </c>
    </row>
    <row r="99" spans="1:17" x14ac:dyDescent="0.25">
      <c r="A99" s="11">
        <f t="array" ref="A99:G99">DaysandWeeks+DATE(CalendarYear,MonthStart,1)-WEEKDAY(DATE(CalendarYear,MonthStart,1),1)+I99</f>
        <v>44479</v>
      </c>
      <c r="B99" s="11">
        <v>44480</v>
      </c>
      <c r="C99" s="11">
        <v>44481</v>
      </c>
      <c r="D99" s="11">
        <v>44482</v>
      </c>
      <c r="E99" s="11">
        <v>44483</v>
      </c>
      <c r="F99" s="11">
        <v>44484</v>
      </c>
      <c r="G99" s="11">
        <v>44485</v>
      </c>
      <c r="I99">
        <f t="shared" si="526"/>
        <v>134</v>
      </c>
      <c r="K99" t="b">
        <f t="shared" ref="K99" ca="1" si="688">IFERROR(MATCH(A99,Holidays,0),FALSE)</f>
        <v>0</v>
      </c>
      <c r="L99" t="b">
        <f t="shared" ref="L99" ca="1" si="689">IFERROR(MATCH(B99,Holidays,0),FALSE)</f>
        <v>0</v>
      </c>
      <c r="M99" t="b">
        <f t="shared" ref="M99" ca="1" si="690">IFERROR(MATCH(C99,Holidays,0),FALSE)</f>
        <v>0</v>
      </c>
      <c r="N99" t="b">
        <f t="shared" ref="N99" ca="1" si="691">IFERROR(MATCH(D99,Holidays,0),FALSE)</f>
        <v>0</v>
      </c>
      <c r="O99" t="b">
        <f t="shared" ref="O99" ca="1" si="692">IFERROR(MATCH(E99,Holidays,0),FALSE)</f>
        <v>0</v>
      </c>
      <c r="P99" t="b">
        <f t="shared" ref="P99" ca="1" si="693">IFERROR(MATCH(F99,Holidays,0),FALSE)</f>
        <v>0</v>
      </c>
      <c r="Q99" t="b">
        <f t="shared" ref="Q99" ca="1" si="694">IFERROR(MATCH(G99,Holidays,0),FALSE)</f>
        <v>0</v>
      </c>
    </row>
    <row r="100" spans="1:17" x14ac:dyDescent="0.25">
      <c r="A100" s="11">
        <f t="array" ref="A100:G100">DaysandWeeks+DATE(CalendarYear,MonthStart,1)-WEEKDAY(DATE(CalendarYear,MonthStart,1),1)+I100</f>
        <v>44479</v>
      </c>
      <c r="B100" s="11">
        <v>44480</v>
      </c>
      <c r="C100" s="11">
        <v>44481</v>
      </c>
      <c r="D100" s="11">
        <v>44482</v>
      </c>
      <c r="E100" s="11">
        <v>44483</v>
      </c>
      <c r="F100" s="11">
        <v>44484</v>
      </c>
      <c r="G100" s="11">
        <v>44485</v>
      </c>
      <c r="I100">
        <f t="shared" si="526"/>
        <v>134</v>
      </c>
      <c r="K100" t="b">
        <f t="shared" ref="K100" ca="1" si="695">IFERROR(MATCH(A100,Holidays,0),FALSE)</f>
        <v>0</v>
      </c>
      <c r="L100" t="b">
        <f t="shared" ref="L100" ca="1" si="696">IFERROR(MATCH(B100,Holidays,0),FALSE)</f>
        <v>0</v>
      </c>
      <c r="M100" t="b">
        <f t="shared" ref="M100" ca="1" si="697">IFERROR(MATCH(C100,Holidays,0),FALSE)</f>
        <v>0</v>
      </c>
      <c r="N100" t="b">
        <f t="shared" ref="N100" ca="1" si="698">IFERROR(MATCH(D100,Holidays,0),FALSE)</f>
        <v>0</v>
      </c>
      <c r="O100" t="b">
        <f t="shared" ref="O100" ca="1" si="699">IFERROR(MATCH(E100,Holidays,0),FALSE)</f>
        <v>0</v>
      </c>
      <c r="P100" t="b">
        <f t="shared" ref="P100" ca="1" si="700">IFERROR(MATCH(F100,Holidays,0),FALSE)</f>
        <v>0</v>
      </c>
      <c r="Q100" t="b">
        <f t="shared" ref="Q100" ca="1" si="701">IFERROR(MATCH(G100,Holidays,0),FALSE)</f>
        <v>0</v>
      </c>
    </row>
    <row r="101" spans="1:17" x14ac:dyDescent="0.25">
      <c r="A101" s="11"/>
      <c r="B101" s="11"/>
      <c r="C101" s="11"/>
      <c r="D101" s="11"/>
      <c r="E101" s="11"/>
      <c r="F101" s="11"/>
      <c r="G101" s="11"/>
    </row>
    <row r="102" spans="1:17" x14ac:dyDescent="0.25">
      <c r="A102" s="11"/>
      <c r="B102" s="11"/>
      <c r="C102" s="11"/>
      <c r="D102" s="11"/>
      <c r="E102" s="11"/>
      <c r="F102" s="11"/>
      <c r="G102" s="11"/>
    </row>
    <row r="103" spans="1:17" x14ac:dyDescent="0.25">
      <c r="A103" s="11"/>
      <c r="B103" s="11"/>
      <c r="C103" s="11"/>
      <c r="D103" s="11"/>
      <c r="E103" s="11"/>
      <c r="F103" s="11"/>
      <c r="G103" s="11"/>
    </row>
    <row r="104" spans="1:17" x14ac:dyDescent="0.25">
      <c r="A104" s="11"/>
      <c r="B104" s="11"/>
      <c r="C104" s="11"/>
      <c r="D104" s="11"/>
      <c r="E104" s="11"/>
      <c r="F104" s="11"/>
      <c r="G104" s="11"/>
    </row>
    <row r="105" spans="1:17" x14ac:dyDescent="0.25">
      <c r="A105" s="11"/>
      <c r="B105" s="11"/>
      <c r="C105" s="11"/>
      <c r="D105" s="11"/>
      <c r="E105" s="11"/>
      <c r="F105" s="11"/>
      <c r="G105" s="11"/>
    </row>
    <row r="106" spans="1:17" x14ac:dyDescent="0.25">
      <c r="A106" s="11"/>
      <c r="B106" s="11"/>
      <c r="C106" s="11"/>
      <c r="D106" s="11"/>
      <c r="E106" s="11"/>
      <c r="F106" s="11"/>
      <c r="G106" s="11"/>
    </row>
    <row r="107" spans="1:17" x14ac:dyDescent="0.25">
      <c r="A107" s="11"/>
      <c r="B107" s="11"/>
      <c r="C107" s="11"/>
      <c r="D107" s="11"/>
      <c r="E107" s="11"/>
      <c r="F107" s="11"/>
      <c r="G107" s="11"/>
    </row>
    <row r="108" spans="1:17" x14ac:dyDescent="0.25">
      <c r="A108" s="11"/>
      <c r="B108" s="11"/>
      <c r="C108" s="11"/>
      <c r="D108" s="11"/>
      <c r="E108" s="11"/>
      <c r="F108" s="11"/>
      <c r="G108" s="11"/>
    </row>
    <row r="109" spans="1:17" x14ac:dyDescent="0.25">
      <c r="A109" s="11"/>
      <c r="B109" s="11"/>
      <c r="C109" s="11"/>
      <c r="D109" s="11"/>
      <c r="E109" s="11"/>
      <c r="F109" s="11"/>
      <c r="G109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Swap</vt:lpstr>
      <vt:lpstr>Master1</vt:lpstr>
      <vt:lpstr>Stats</vt:lpstr>
      <vt:lpstr>Master</vt:lpstr>
      <vt:lpstr>Amion Export</vt:lpstr>
      <vt:lpstr>Lists</vt:lpstr>
      <vt:lpstr>Calendar</vt:lpstr>
      <vt:lpstr>CalendarYear</vt:lpstr>
      <vt:lpstr>checker</vt:lpstr>
      <vt:lpstr>CurrDate</vt:lpstr>
      <vt:lpstr>Doctors</vt:lpstr>
      <vt:lpstr>Doctors1</vt:lpstr>
      <vt:lpstr>Holidays</vt:lpstr>
      <vt:lpstr>MonthStart</vt:lpstr>
      <vt:lpstr>Swap_copy</vt:lpstr>
      <vt:lpstr>Weekstart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Griffioen</dc:creator>
  <cp:lastModifiedBy>Mary Griffioen</cp:lastModifiedBy>
  <dcterms:created xsi:type="dcterms:W3CDTF">2018-01-11T02:16:10Z</dcterms:created>
  <dcterms:modified xsi:type="dcterms:W3CDTF">2023-12-31T22:03:35Z</dcterms:modified>
</cp:coreProperties>
</file>